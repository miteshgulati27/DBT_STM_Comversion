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mitesh_gulati_pwc_com/Documents/Downloads/"/>
    </mc:Choice>
  </mc:AlternateContent>
  <xr:revisionPtr revIDLastSave="5" documentId="8_{3573C79B-0735-4647-B6F8-004CB8E0EB2E}" xr6:coauthVersionLast="47" xr6:coauthVersionMax="47" xr10:uidLastSave="{2E96EC6F-A2E2-44C9-8B96-569963ABC2D3}"/>
  <bookViews>
    <workbookView xWindow="-108" yWindow="-108" windowWidth="23256" windowHeight="14856" activeTab="1" xr2:uid="{00000000-000D-0000-FFFF-FFFF00000000}"/>
  </bookViews>
  <sheets>
    <sheet name="bp_jurisdiction" sheetId="1" r:id="rId1"/>
    <sheet name="Business Rules" sheetId="10" r:id="rId2"/>
    <sheet name="bp_location" sheetId="2" r:id="rId3"/>
    <sheet name="bp_classification" sheetId="3" r:id="rId4"/>
    <sheet name="bp_building" sheetId="4" r:id="rId5"/>
    <sheet name="dim_bp_cvrbl" sheetId="5" r:id="rId6"/>
    <sheet name="m_scd2_scd1_macro" sheetId="6" r:id="rId7"/>
    <sheet name="m_flatten_json_column" sheetId="7" r:id="rId8"/>
    <sheet name="m_flattern_json_column.sql" sheetId="8" r:id="rId9"/>
    <sheet name="dim_macro" sheetId="9" r:id="rId10"/>
  </sheets>
  <definedNames>
    <definedName name="_xlnm._FilterDatabase" localSheetId="5" hidden="1">dim_bp_cvrbl!$A$2:$N$180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4" l="1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3" i="5"/>
  <c r="C4" i="4"/>
  <c r="C5" i="4"/>
  <c r="C6" i="4"/>
  <c r="C7" i="4"/>
  <c r="C8" i="4"/>
  <c r="C9" i="4"/>
  <c r="C10" i="4"/>
  <c r="C11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3" i="4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4" i="3"/>
  <c r="C5" i="3"/>
  <c r="C6" i="3"/>
  <c r="C7" i="3"/>
  <c r="C8" i="3"/>
  <c r="C9" i="3"/>
  <c r="C10" i="3"/>
  <c r="C11" i="3"/>
  <c r="C3" i="3"/>
  <c r="D12" i="2"/>
  <c r="D18" i="2"/>
  <c r="D20" i="2"/>
  <c r="D28" i="2"/>
  <c r="D29" i="2"/>
  <c r="C4" i="2"/>
  <c r="C5" i="2"/>
  <c r="C6" i="2"/>
  <c r="C7" i="2"/>
  <c r="C8" i="2"/>
  <c r="C9" i="2"/>
  <c r="C10" i="2"/>
  <c r="C1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" i="2"/>
</calcChain>
</file>

<file path=xl/sharedStrings.xml><?xml version="1.0" encoding="utf-8"?>
<sst xmlns="http://schemas.openxmlformats.org/spreadsheetml/2006/main" count="3418" uniqueCount="1072">
  <si>
    <t>Target Extract</t>
  </si>
  <si>
    <t>BP_COVERABLE</t>
  </si>
  <si>
    <t>Traget -FF_EXT_BP_COVERABLE</t>
  </si>
  <si>
    <t>seq</t>
  </si>
  <si>
    <t xml:space="preserve">column name </t>
  </si>
  <si>
    <t>Data type</t>
  </si>
  <si>
    <t>SCD type</t>
  </si>
  <si>
    <t xml:space="preserve">source table </t>
  </si>
  <si>
    <t xml:space="preserve">column mapping </t>
  </si>
  <si>
    <t xml:space="preserve">From/join/where </t>
  </si>
  <si>
    <t>Validation</t>
  </si>
  <si>
    <t>Error action</t>
  </si>
  <si>
    <t>Validation( data quality)</t>
  </si>
  <si>
    <t>General rule applied</t>
  </si>
  <si>
    <t xml:space="preserve">Transformation cleansing </t>
  </si>
  <si>
    <t>Model Target definition</t>
  </si>
  <si>
    <t>Name</t>
  </si>
  <si>
    <t>Code</t>
  </si>
  <si>
    <t>Domian</t>
  </si>
  <si>
    <t>Logical data type</t>
  </si>
  <si>
    <t>comments</t>
  </si>
  <si>
    <t>BP_CVRBL_KEY (PK)</t>
  </si>
  <si>
    <t>POL_KEY (FK)</t>
  </si>
  <si>
    <t>POL_LINE_KEY (FK)</t>
  </si>
  <si>
    <t>CVRBL_TYPE_KEY (FK]</t>
  </si>
  <si>
    <t>END_EFF_DT (PK]</t>
  </si>
  <si>
    <t>END_EXP_DT</t>
  </si>
  <si>
    <t>SOURCE_SYSTEM</t>
  </si>
  <si>
    <t>CVRBL_TYPE_CD</t>
  </si>
  <si>
    <t>PREFD_COVG_CURR_CD</t>
  </si>
  <si>
    <t>COVERABLE_ITEMS</t>
  </si>
  <si>
    <t>JS_STATE_CD</t>
  </si>
  <si>
    <t>JS_LIQUOR_LIAB_GRADE</t>
  </si>
  <si>
    <t>JS_LIQUOR_LIAB_GRADE_OFF_PREMISE</t>
  </si>
  <si>
    <t>JS_LIQUOR_LIAB_GRADE_ON_PREMISE</t>
  </si>
  <si>
    <t>JS_LIAB_CO_TIER_EXT</t>
  </si>
  <si>
    <t>JS_LIAB_TIER_FCTR_EXT</t>
  </si>
  <si>
    <t>JS_MI_LIQUOR_COMPLIANCE_EXT</t>
  </si>
  <si>
    <t>JS_PREFD_COVG_CURR_CD</t>
  </si>
  <si>
    <t>JS_PREFD_STTLMNT_CURR_CD</t>
  </si>
  <si>
    <t>JS_PRICING_MODEL_ORDER_DT_EXT_DTS</t>
  </si>
  <si>
    <t>JS_PRICING_MODEL_ORDER_STATUS_EXT_CD</t>
  </si>
  <si>
    <t>JS_PROP_CO_TIER_EXT</t>
  </si>
  <si>
    <t>JS_PROP_TIER_FCTR_EXT</t>
  </si>
  <si>
    <t>JS_USER_UPDATED_COVG_CURR_FL</t>
  </si>
  <si>
    <t>varchar(255)</t>
  </si>
  <si>
    <t>JS_USER_UPDATED_STTLMNT_CURR_FL</t>
  </si>
  <si>
    <t>varchar(100)</t>
  </si>
  <si>
    <t>NIA</t>
  </si>
  <si>
    <t>date</t>
  </si>
  <si>
    <t>varchar(10)</t>
  </si>
  <si>
    <t>$sourceSystem' Il'-' Il cast(polper.PeriodID as varchar2(1000)) II'-' Il 'BP7JURISDICTION' II'-' Il cast[src.FixedID as varchar2(1000]] as
BP CVRBL KEY</t>
  </si>
  <si>
    <t>'$sourceSystem' II'-' II 'BP7JURISDICTION' as CVRBL_TYPE_KEY</t>
  </si>
  <si>
    <t>.to_char[cast[coalesce(src.EffectiveDate, polper.PeriodStart) as date), 'yyyy.mm.dd") as END_EFF_DT</t>
  </si>
  <si>
    <t>,to_char[cast[coalesce(src.ExpirationDate, polper.PeriodEnd) as date], 'yyyy.mm.dd'] as END_EXP_DT</t>
  </si>
  <si>
    <t>$sourceSystem' Il'-' Il cast(polper.PeriodID as varchar2(1000]) as POL_KEY</t>
  </si>
  <si>
    <t>.case
when src.BP7BusinessOwnersLine is not null then '$sourceSystem' II'-' Il cast(polper.PeriodID as varchar2(1000)) II '-' Il
cast[src.BP7BusinessOwnersLine as varchar2(1000))
else null
end as POL LINE KEY</t>
  </si>
  <si>
    <t>'$sourceSystem' as SOURCE_SYSTEM</t>
  </si>
  <si>
    <t>'BP7JURISDICTION' as CVRBL_TYPE_CD</t>
  </si>
  <si>
    <t>,PreferredCoverageCurrency.TYPECODE as PREFD_COVG_CURR_CD</t>
  </si>
  <si>
    <t>,State.TYPECODE as JS_STATE_CD</t>
  </si>
  <si>
    <t>,src.bp7liquorliabgrade as JS_LIQUOR_LIAB_GRADE</t>
  </si>
  <si>
    <t>,src.bp7liquorliabgradeoffpremise as JS_LIQUOR_LIAB_GRADE_OFF_PREMISE</t>
  </si>
  <si>
    <t>,src.bp7liquorliabgradeonpremise as JS_LIQUOR_LIAB_GRADE_ON_PREMISE</t>
  </si>
  <si>
    <t>,src.LiabCompanyTier_Ext as LIAB_CO_TIER_EXT</t>
  </si>
  <si>
    <t>src.bp7MiLiqComp as MI_LIQUOR_COMPLIANCE_EXT</t>
  </si>
  <si>
    <t>,PreferredSettlementCurrency.TYPECODE as PREFD_STTLMNT_CURR_CD</t>
  </si>
  <si>
    <t>.to_char[src.PricingModelOrderDate_Ext, 'yyyy-mm-dd hh24:mi:ss'] as PRICING_MODEL_ORDER_DT_EXT_DTS</t>
  </si>
  <si>
    <t>,src.LiabTierFactor_Ext as LIAB_TIER_FCTR_EXT</t>
  </si>
  <si>
    <t>,PricingModelOrderStatus_Ext.TYPECODE as PRICING_MODEL_ORDER_STATUS_EXT_CD</t>
  </si>
  <si>
    <t>src.PropCompanyTier_Ext as PROP_CO_TIER_EXT</t>
  </si>
  <si>
    <t>.src.PropTierFactor_Ext as PROP_TIER_FCTR_EXT</t>
  </si>
  <si>
    <t>,case when sro.UserUpdatedCoverageCurrency = '1' then "Y' when src.UserUpdatedCoverageCurrency = '0' then 'N' else NULL end as
USER_UPDATED_COVG_CURR_FL</t>
  </si>
  <si>
    <t>,case when src.UserUpdatedSettlementCurrency = 'I' then "Y' when src.UserUpdatedSettlementCurrency = '0' then 'N' else NULL end as
USER_UPDATED_STTLMNT_CURR_FL</t>
  </si>
  <si>
    <t>with int_bop jurs as (
SELECT
'GWPC' |I '-' II cast (polper. PeriodID as varchar2(1000) ) II '-' |I 'BP7JURISDICTION' |I '-' II cast (src. FixedID as varchar2 (1000) ) as BP_CVRBL_KEY
, 'GWPC' |I '-' |I cast (polper. PeriodID as varchar2 (1000) ) as POL_KEY
, case
when src.BP7BusinessOwnersLine is not null then 'GWPC' |I '-' |l cast (polper. PeriodID as varchar2 (1000) ) II '-' II
cast (src.BP7BusinessOwnersLine as varchar2 (1000) )
else null
end as POL_LINE_KEY
,'GWPC' |I '-' |I 'BP7JURISDICTION' as CVRBL_TYPE_KEY
, cast (coalesce (src.EffectiveDate, polper. PeriodStart) as DATE) as END_EFF_DT
as DATE) as END_EXP_DT
,'JS_LIQUOR_LIAB_GRADE',
, cast (coalesce (src.ExpirationDate, polper. PeriodEnd)
, to_timestamp (END_EFF_DT) as ETL_END_EFF_DTS
, to_timestamp (END_EXP_DT) as ETL_END_EXP_DTS
,'BP7JURISDICTION' as CVRBL_TYPE_CD
, PreferredCoverageCurrency. TYPECODE as PREFD_COVG_CURR_CD
, 'GWPC' as SOURCE_SYSTEM
object_construct (
'JS_STATE_CD', (case when State. TYPECODE is null or TRIM(State. TYPECODE)='' then ' ' else TRIM(State. TYPECODE) end)
(case when src.bp7liquorliabgrade is null or TRIM(src.bp7liquorliabgrade)='' then ' ' else TRIM(src.bp7liquorliabgrade) end)
,'JS_LIQUOR_LIAB_GRADE_OFF_PREMISE', (case when src.bp7liquorliabgradeoffpremise is null or TRIM(src.bp7liquorliabgradeoffpremise)='' then ' ' else
TRIM(src.bp7liquorliabgradeoffpremise) end)
,'JS_LIQUOR_LIAB_GRADE_ON_PREMISE' ,
else TRIM(src.bp7liquorliabgradeonpremise) end)
) AS COVERABLE_ITEMS
, job.CloseDate as ETL_ROW_EFF_DTS
from pcx_bp7jurisdiction src
join pc_policyperiod polper on polper. ID = src.BranchID
join pc job job on job. ID = polper. JobID
join pctl policyperiodstatus status on status. ID = polper.status
left join pctl_currency PreferredSettlementCurrency on PreferredSettlementCurrency. ID = src. PreferredSettlementCurrency
join pctl_currency PreferredCoverageCurrency on PreferredCoverageCurrency. ID = src. PreferredCoverageCurrency
left join pctl_pricingmodelorderstatus_ext PricingModelOrderStatus_Ext on PricingModelOrderStatus_Ext. ID = src. PricingModelOrderStatus_Ext
left join pctl_jurisdiction State on State. ID = src.State
-- added newly
left join (select branchid, fixedid, EffectiveDate, ExpirationDate, id from
(select poll.branchid, poll. fixedid, poll. EffectiveDate, poll. ExpirationDate, poll.id,
coalesce (poll.EffectiveDate, polper.periodstart) as eff_dt, coalesce (poll.ExpirationDate, polper.periodend) as exp_dt,
polper.periodstart, polper.periodend, row_number () over (partition by poll.branchid, poll. fixedid order by poll. expirationdate desc ) as rn
from pcx_bp7jurisdiction poll
join pc_policyperiod polper on polper.ID = poll.BranchID
)pccp7
where pccp7.rn=1
) srcx
on srcx.BranchID = src.BranchID
and srcx. FixedID = src. FixedID
and srcx.id=src.id
where status. TYPECODE = 'Bound'
)
select * from int_bop_jurs</t>
  </si>
  <si>
    <t>General Primary Key Rule 1</t>
  </si>
  <si>
    <t>General Foreign Key Rule 1</t>
  </si>
  <si>
    <t>General Date Rule 1</t>
  </si>
  <si>
    <t>General Date Rule 2</t>
  </si>
  <si>
    <t>General Source System Rule 1</t>
  </si>
  <si>
    <t>General Rule 1</t>
  </si>
  <si>
    <t>General Number Rule 1</t>
  </si>
  <si>
    <t>General Date Rule 5</t>
  </si>
  <si>
    <t>General Flag Rule 1</t>
  </si>
  <si>
    <t>BP Coverable Key</t>
  </si>
  <si>
    <t>Policy Key</t>
  </si>
  <si>
    <t>Policy Line Key</t>
  </si>
  <si>
    <t>Coverable Type Key</t>
  </si>
  <si>
    <t>Endorsement Effective Date</t>
  </si>
  <si>
    <t>Endorsement Expiration Date</t>
  </si>
  <si>
    <t>Source System</t>
  </si>
  <si>
    <t>Coverable Type Code</t>
  </si>
  <si>
    <t>Preferred Coverage Currency Code</t>
  </si>
  <si>
    <t>POL_KEY (FK]</t>
  </si>
  <si>
    <t>CVRBL_TYPE_KEY (FK)</t>
  </si>
  <si>
    <t>ΚΕΥ</t>
  </si>
  <si>
    <t>KEY</t>
  </si>
  <si>
    <t>DATE_CODE</t>
  </si>
  <si>
    <t>TEXT_SMALL</t>
  </si>
  <si>
    <t>Variable characters (100)</t>
  </si>
  <si>
    <t>Date</t>
  </si>
  <si>
    <t>Variable characters (10)</t>
  </si>
  <si>
    <t>Variable characters (255)</t>
  </si>
  <si>
    <t>State Code</t>
  </si>
  <si>
    <t>Liquor Liab Grade</t>
  </si>
  <si>
    <t>Liquor Liab Grade Off Premise</t>
  </si>
  <si>
    <t>Liquor Liab Grade On Premise</t>
  </si>
  <si>
    <t>Liab Company Tier Ext</t>
  </si>
  <si>
    <t>Liab Tier Factor Ext</t>
  </si>
  <si>
    <t>Mi Liquor Compliance Ext</t>
  </si>
  <si>
    <t>Preferred Settlement Currency Code</t>
  </si>
  <si>
    <t>Pricing Model Order Date Ext Datetime</t>
  </si>
  <si>
    <t>Pricing Model Order Status Ext Code</t>
  </si>
  <si>
    <t>Prop Company Tier Ext</t>
  </si>
  <si>
    <t>Prop Tier Factor Ext</t>
  </si>
  <si>
    <t>User Updated Coverage Currency Flag</t>
  </si>
  <si>
    <t>User Updated Settlement Currency Flag</t>
  </si>
  <si>
    <t>JS_LIQUOR_LIAB_GRADE_OFF_PRE_MISE</t>
  </si>
  <si>
    <t>JS_PRICING_MODEL_ORDER_STATUS EXT_CD</t>
  </si>
  <si>
    <t>AUDIT_AMOUNT</t>
  </si>
  <si>
    <t>DATE_TIMESTAMP</t>
  </si>
  <si>
    <t>FLAG</t>
  </si>
  <si>
    <t>Number(18,4)</t>
  </si>
  <si>
    <t>Date &amp; Time</t>
  </si>
  <si>
    <t>Characters(1)</t>
  </si>
  <si>
    <t>Decimal(18,4)</t>
  </si>
  <si>
    <t>datetime</t>
  </si>
  <si>
    <t>varchar(1)</t>
  </si>
  <si>
    <t>Conformity &amp; Referrence</t>
  </si>
  <si>
    <t>pcx_bp7jurisdiction</t>
  </si>
  <si>
    <t>Endorsement Effective_Date</t>
  </si>
  <si>
    <t>Endorsement Expiration_Date</t>
  </si>
  <si>
    <t>Preferred CoverageCurrency Code</t>
  </si>
  <si>
    <t>Location Key</t>
  </si>
  <si>
    <t>City</t>
  </si>
  <si>
    <t>County</t>
  </si>
  <si>
    <t>Feet To Hydrant</t>
  </si>
  <si>
    <t>Fire Protection Class PPC</t>
  </si>
  <si>
    <t>Old Protect Class Ext</t>
  </si>
  <si>
    <t>Override PPC Ext Flag</t>
  </si>
  <si>
    <t>PPC Status Ext Code</t>
  </si>
  <si>
    <t>is Distance To Fire Hydrant Avl Ext Flag</t>
  </si>
  <si>
    <t>Priv Fire Dept</t>
  </si>
  <si>
    <t>Rating Territory</t>
  </si>
  <si>
    <t>Unit Number</t>
  </si>
  <si>
    <t>Zip Code</t>
  </si>
  <si>
    <t>EQ Terr Ext</t>
  </si>
  <si>
    <t>END_EFF_DT (PK)</t>
  </si>
  <si>
    <t>LO_LOC_KEY (FK)</t>
  </si>
  <si>
    <t>LO_CITY</t>
  </si>
  <si>
    <t>LO_COUNTY</t>
  </si>
  <si>
    <t>LO_FEET_TO_HYDRANT</t>
  </si>
  <si>
    <t>LO_FIRE_PROT_CL_PPC</t>
  </si>
  <si>
    <t>LO_IS_DIST_FIRE_HYDRANT_AVL_EXT_FL</t>
  </si>
  <si>
    <t>LO_OLD_PROTECT_CL_EXT</t>
  </si>
  <si>
    <t>LO_OVRD_PPC_EXT_FL</t>
  </si>
  <si>
    <t>LO_PPC_STATUS_EXT_CD</t>
  </si>
  <si>
    <t>LO_PRIV_FIRE_DEPT</t>
  </si>
  <si>
    <t>LO_RATING_TERR</t>
  </si>
  <si>
    <t>LO_UNIT_NO</t>
  </si>
  <si>
    <t>LO_ZIP_CD</t>
  </si>
  <si>
    <t>LO_EQ_TERR_EXT</t>
  </si>
  <si>
    <t>LO_PREFD_STTLMNT_CURR_CD</t>
  </si>
  <si>
    <t>LO_USER_UPDATED_COVG_CURR_FL</t>
  </si>
  <si>
    <t>LO_USER_UPDATED_STTLMNT_CURR_FL</t>
  </si>
  <si>
    <t>Characters (1)</t>
  </si>
  <si>
    <t>General Source System Rulle 1</t>
  </si>
  <si>
    <t>General Flag Rule 2</t>
  </si>
  <si>
    <t>,to_char(cast(coalesce(src.ExpirationDate, polper.PeriodEnd) as date), 'yyyy.mm.dd') as END_EXP_DT</t>
  </si>
  <si>
    <t>,src.OldProtectClass_Ext as LO_OLD_PROTECT_CL_EXT</t>
  </si>
  <si>
    <t>,case when src.isDistanceTofireHydrantAvl_Ext ='1' then 'Y when src.isDistanceTofireHydrantAvl_Ext = '0' then 'N' else NULL end as LO_IS_DIST_FIRE_HYDRANT_AVL_EXT_FL</t>
  </si>
  <si>
    <t>,src.bp7privfiredept as LO_PRIV_FIRE_DEPT</t>
  </si>
  <si>
    <t>,src.bp7zipcode as LO_ZIP_CD</t>
  </si>
  <si>
    <t>,PreferredSettlementCurrency.TYPECODE as LO_PREFD_STTLMNT_CURR_CD</t>
  </si>
  <si>
    <r>
      <t>select -- [insert 'Column Mapping' values here]
from pcx_bp7location src
join pc_policyperiod polper on polper. ID = src.BranchID
join pc job job on job. ID = polper. JobID
join pctl policyperiodstatus status on status. ID = polper.status
-added newly P3
left join pctl_currency PreferredSettlementCurrency on PreferredSettlementCurrency. ID = src. PreferredSettlementCurrency
join pctl_c</t>
    </r>
    <r>
      <rPr>
        <b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rrency PreferredCoverageCurrency on PreferredCoverageCurrency. ID = src. PreferredCoverageCurrency
left join pctl ppcstatus_ext PPCStatus_Ext on PPCStatus_Ext. ID = src. PPCStatus_Ext
-- added newly
left join (select branchid, fixedid, EffectiveDate, ExpirationDate,id from
(select poll.branchid,poll.fixedid,poll.EffectiveDate,poll.ExpirationDate,poll.id,
coalesce (poll.EffectiveDate,polper.periodstart) as eff_dt, coalesce (poll.ExpirationDate, polper.periodend) as exp_dt,
polper.periodstart, polper.periodend, row_number () over (partition by poll.branchid, poll.fixedid order by poll.expirationdate desc ) as rn
from pcx_bp7location poll
join pc_policyperiod polper on polper. ID = poll.BranchID
)pccp7
where pccp7.rn=1
) srcx
on srcx.BranchID = src.BranchID
and srcx. FixedID = src. FixedID
and srcx.id=src.id
where status. TYPECODE = 'Bound'</t>
    </r>
  </si>
  <si>
    <t>N/A</t>
  </si>
  <si>
    <t xml:space="preserve">pcx_bp7location </t>
  </si>
  <si>
    <t>$sourceSystem' || '-' || cast (polper. PeriodID as varchar2 (1000) ) || '-' || 'BP7LOCATION' || '-' |I cast (src. FixedID as varchar2 (1000) ) as BP_CVRBL_KEY</t>
  </si>
  <si>
    <t>,'$sourceSystem' | | - || cast(polper.PeriodID as varchar2(1000)) ||'-' II cast(src.Line as varchar2(1000))  as  POL_LINE_KEY</t>
  </si>
  <si>
    <t>,'$sourceSystem'  || '-' || 'BP7LOCATION'  as CVRBL_TYPE_KEY</t>
  </si>
  <si>
    <t>,to_char(cast(coalesce(src.EffectiveDate, polper.PeriodStart) as date), 'yyyy.mm.dd') as END_EFF_DT</t>
  </si>
  <si>
    <t xml:space="preserve">,'$sourceSystem' as SOURCE_SYSTEM
</t>
  </si>
  <si>
    <t>,'BP7LOCATION' as CVRBL_TYPE_CD</t>
  </si>
  <si>
    <t>,PreferredCoverageCurrency.TYPECODE  as PREFD_COVG_CURR_CD</t>
  </si>
  <si>
    <t>,'$sourceSystem' | | '-' || cast(polper.PeriodID as varchar2(1000)) ||'-'|| cast(src.Location as varchar2(1000)) as LO_LOC_KEY</t>
  </si>
  <si>
    <t>,src.bp7city as LO_CITY</t>
  </si>
  <si>
    <t>,src.bp7county as LO_COUNTY</t>
  </si>
  <si>
    <t>,src.bp7feettohydrant as LO_FEET_TO_HYDRANT</t>
  </si>
  <si>
    <t>,src.bp7fireprotectionclassppc as LO_FIRE_PROT_CL_PPC</t>
  </si>
  <si>
    <t>,case when src.OverridePPC_Ext ="1" then 'Y'  when src.OverridePPC_Ext = '0' then 'N'  else NULL end as LO_OVRD_PPC_EXT_FL</t>
  </si>
  <si>
    <t>,PPCStatus_Ext.TYPECODE as  LO_PPC_STATUS _EXT_CD</t>
  </si>
  <si>
    <t>,src.bp7unitnumber as LO_UNIT_NO</t>
  </si>
  <si>
    <t>,src.bp7ratingterritory as LO_RATING_TERR</t>
  </si>
  <si>
    <t>,'$sourceSystem' | | - || cast(polper.PeriodID as varchar2(1000)) as POL_KEY</t>
  </si>
  <si>
    <t>,src.bp7eqterr as LO_EQ_TERR_EXT</t>
  </si>
  <si>
    <t>,case when src.UserUpdatedCoverageCurrency ='1' then 'Y' when   src.UserUpdatedCoverageCurrency = '0' then 'N' else NULL end as LO_USER_UPDATED_COVG_CURR_FL</t>
  </si>
  <si>
    <t>,case when src.UserUpdatedSettlementCurrency ='1' then 'Y' when src.UserUpdatedSettlementCurrency = '0' then 'N' else NULL end as LO_USER_UPDATED_STTLMNT_CURR_FL</t>
  </si>
  <si>
    <t>int</t>
  </si>
  <si>
    <t>BP Building Key</t>
  </si>
  <si>
    <t>Area</t>
  </si>
  <si>
    <t>Blkt ID Number</t>
  </si>
  <si>
    <t>Class Code</t>
  </si>
  <si>
    <t>Class Description</t>
  </si>
  <si>
    <t>Class Group</t>
  </si>
  <si>
    <t>Class Property Type</t>
  </si>
  <si>
    <t>Classification Number</t>
  </si>
  <si>
    <t>Condo Bylaws</t>
  </si>
  <si>
    <t>Condo Residence</t>
  </si>
  <si>
    <t>Description Of Property Or Coverage</t>
  </si>
  <si>
    <t>Exposure</t>
  </si>
  <si>
    <t>Exposure Basis</t>
  </si>
  <si>
    <t>Functl Busn Prsnl Prop Valtn Apply</t>
  </si>
  <si>
    <t>Predominant Flag</t>
  </si>
  <si>
    <t>RABOP Type</t>
  </si>
  <si>
    <t>RABOP Type Liability Occupants</t>
  </si>
  <si>
    <t>RABOP Wanted</t>
  </si>
  <si>
    <t>Rate Number</t>
  </si>
  <si>
    <t>Townhouse Law</t>
  </si>
  <si>
    <t>Plumbing License</t>
  </si>
  <si>
    <t>Townhouse Association</t>
  </si>
  <si>
    <t>Contractors Work</t>
  </si>
  <si>
    <t>Audited Exposure Ext</t>
  </si>
  <si>
    <t>Business Certified Ext</t>
  </si>
  <si>
    <t>Cntrct IA Code CH Ext</t>
  </si>
  <si>
    <t>Condo Law Dec Ext</t>
  </si>
  <si>
    <t>Standard Industrial Classification SIC  Code</t>
  </si>
  <si>
    <t>Condo Law Proj Ext</t>
  </si>
  <si>
    <t>Earthquake Factor Ext</t>
  </si>
  <si>
    <t>Earthquake Sub Limit Factor Ext</t>
  </si>
  <si>
    <t>If Any Basis Ext</t>
  </si>
  <si>
    <t>No Of Car Wash Bays Ext</t>
  </si>
  <si>
    <t>No Of Fuel Pumps Ext</t>
  </si>
  <si>
    <t>Pest Herb Poll Ext</t>
  </si>
  <si>
    <t>General Number Rule 4</t>
  </si>
  <si>
    <t>North American Industry Classification System NAICS Code</t>
  </si>
  <si>
    <t>CL_BP_BLDG_KEY (FK)</t>
  </si>
  <si>
    <t>CL_AREA</t>
  </si>
  <si>
    <t>CL_BLKT_ID_NO</t>
  </si>
  <si>
    <t>CL_CL_CD</t>
  </si>
  <si>
    <t>CL_CL_TEXT</t>
  </si>
  <si>
    <t>CL_CL_GRP</t>
  </si>
  <si>
    <t>CL_CL_PROP_TYPE</t>
  </si>
  <si>
    <t>CL_CLASS_NO</t>
  </si>
  <si>
    <t>CL_CONDO_BYLAWS</t>
  </si>
  <si>
    <t>CL_CONDO_RESIDENCE</t>
  </si>
  <si>
    <t>CL_TEXT_OF_PROP_OR_COVG</t>
  </si>
  <si>
    <t>CL_EXPSR</t>
  </si>
  <si>
    <t>CL_EXPSR_BASIS</t>
  </si>
  <si>
    <t>CL_FUNCTL_BUSN_PRSNL_PROP_VALTN_APPLY</t>
  </si>
  <si>
    <t>CL_NORTH_AMERICAN_INDUSTRY_CLASS_SYS_NAICS_CD</t>
  </si>
  <si>
    <t>CL_PREDOMINANT_FL</t>
  </si>
  <si>
    <t>CL_RABOP_TYPE</t>
  </si>
  <si>
    <t>CL_RABOP_TYPE_LIAB_OCCUPANTS</t>
  </si>
  <si>
    <t>CL_RABOP_WANTED</t>
  </si>
  <si>
    <t>CL_RATE_NO</t>
  </si>
  <si>
    <t>CL_STD_INDUSTRIAL_CLASS_SIC_CD</t>
  </si>
  <si>
    <t>CL_TOWN_HOUSE_BY_LAW</t>
  </si>
  <si>
    <t>CL_PLUMBING_LICENSE</t>
  </si>
  <si>
    <t>CL_TOWN_HOUSE_ASSOC</t>
  </si>
  <si>
    <t>CL_CONTRACTORS_WORK</t>
  </si>
  <si>
    <t>CL_AUDITED_EXPSR_EXT</t>
  </si>
  <si>
    <t>CL_BUS_CERT_EXT</t>
  </si>
  <si>
    <t>CL_CNTRCT_IA_CD_CH_EXT</t>
  </si>
  <si>
    <t>CL_CONDO_LAW_DEC_EXT</t>
  </si>
  <si>
    <t>CL_CONDO_LAW_PROJ_EXT</t>
  </si>
  <si>
    <t>CL_EQ_FCTR_EXT</t>
  </si>
  <si>
    <t>CL_EQ_SUB_LMT_FCTR EXT</t>
  </si>
  <si>
    <t>CL_NO_OF_FUEL_PUMPS_EXT</t>
  </si>
  <si>
    <t>CL_PEST_HERB_POLL_EXT</t>
  </si>
  <si>
    <t>CL_PREFD_STTLMNT_CURR_CD</t>
  </si>
  <si>
    <t>CL_USER_UPDATED_COVG_CURR_FL</t>
  </si>
  <si>
    <t>CL_USER_UPDATED_STTLMNT_CURR_FL</t>
  </si>
  <si>
    <t>CL_IF_ANY_BASIS_EXT</t>
  </si>
  <si>
    <t>CL_NO_OF_CAR_WASH_BAYS_EXT</t>
  </si>
  <si>
    <t>SEQUENCE</t>
  </si>
  <si>
    <t>TEXT SMALL</t>
  </si>
  <si>
    <t>Integer</t>
  </si>
  <si>
    <t>,'$sourceSystem' || '-' || cast(polper. PeriodID as varchar2(1000)) || '-' || 'BP7BUILDING' || '-' || cast(src.Building as varchar2(1000)) as CL_BP_BLDG_KEY</t>
  </si>
  <si>
    <t>,src.bp7area as CL_AREA</t>
  </si>
  <si>
    <t>,src.bp7blktidnumber as CL_BLKT_ID_NO</t>
  </si>
  <si>
    <t>,src.bp7classcode as CL_CL_CD</t>
  </si>
  <si>
    <t>,src.bp7classdescription as CL_CL_TEXT</t>
  </si>
  <si>
    <t>,src.bp7classgroup as CL_CL_GRP</t>
  </si>
  <si>
    <t>,src.bp7classpropertytype as CL_CL_PROP_TYPE</t>
  </si>
  <si>
    <t>,src.ClassificationNumber as CL_CLASS_NO</t>
  </si>
  <si>
    <t>,src.bp7condobylaws as CL_CONDO_BYLAWS</t>
  </si>
  <si>
    <t>,src.bp7condoresidence as CL_CONDO_RESIDENCE</t>
  </si>
  <si>
    <t>,src.bp7descriptionofpropertyor as CL_TEXT_OF_PROP_OR_COVG</t>
  </si>
  <si>
    <t>,src.bp7exposure as CL_EXPSR</t>
  </si>
  <si>
    <t>,src.bp7exposurebasis as CL_EXPSR_BASIS</t>
  </si>
  <si>
    <t>,src.bp7functlbusnprsnlpropvaltnapp as CL_FUNCTL_BUSN_PRSNL_PROP_VALTN_APPLY</t>
  </si>
  <si>
    <t>,src.bp7northamericanindustryclassi as CL_NORTH_AMERICAN_INDUSTRY_CLASS_SYS_NAICS_CD</t>
  </si>
  <si>
    <t>,case when src.Predominant = '1' then 'Y' when src. Predominant = '0' then 'N' else NULL end as CL PREDOMINANT FL</t>
  </si>
  <si>
    <t>,src.bp7rabp7type as CL_RABOP_TYPE</t>
  </si>
  <si>
    <t>,src.bp7rabp7typeliaboccupants as CL_RABOP_TYPE_LIAB_OCCUPANTS</t>
  </si>
  <si>
    <t>,src.bp7rabp7wanted as CL_RABOP_WANTED</t>
  </si>
  <si>
    <t>,src.bp7ratenumber as CL_RATE_NO</t>
  </si>
  <si>
    <t>,src.bp7standardindustrialclassific as CL_STD_INDUSTRIAL_CLASS_SIC_CD</t>
  </si>
  <si>
    <t>,src.bp7townhousebylaw as CL_TOWN_HOUSE_BY_LAW</t>
  </si>
  <si>
    <t>,src.bp7plumbinglicense AS CL_PLUMBING_LICENSE</t>
  </si>
  <si>
    <t>,src.bp7townhouseassoc as CL_TOWN_HOUSE_ASSOC</t>
  </si>
  <si>
    <t>,src.bp7contractorswork as CL_CONTRACTORS_WORK</t>
  </si>
  <si>
    <t>src.AuditedExposure_Ext as CL_AUDITED_EXPSR_EXT</t>
  </si>
  <si>
    <t>,src.BusinessCertified_Ext as CL_BUS_CERT_EXT</t>
  </si>
  <si>
    <t>,src.CntrctIACodeCH_Ext as CL_CNTRCT_IA_CD_CH_EXT</t>
  </si>
  <si>
    <t>,src.bp7condolawdec_ext as CL_CONDO_LAW_DEC_EXT</t>
  </si>
  <si>
    <t>,src.bp7condolawproj_ext as CL_CONDO_LAW_PROJ_EXT</t>
  </si>
  <si>
    <t>,src.EarthquakeFactor_Ext as CL_EQ_FCTR_EXT</t>
  </si>
  <si>
    <t>,src.EarthquakeSubLimitFactor_Ext as CL_EQ_SUB_LMT_FCTR_EXT</t>
  </si>
  <si>
    <t>,src.IfAnyBasis_Ext as CL_IF_ANY_BASIS_EXT</t>
  </si>
  <si>
    <t>,src.NoOfCarWashBays_Ext as CL_NO_OF_CAR_WASH_BAYS_EXT</t>
  </si>
  <si>
    <t>,src.NoOfFuelPumps_Ext as CL_NO_OF_FUEL_PUMPS_EXT</t>
  </si>
  <si>
    <t>,src.bp7pestherbpoll_ext as CL_PEST_HERB_POLL_EXT</t>
  </si>
  <si>
    <t>, PreferredSettlementCurrency. TYPECODE as CL_PREFD_STTLMNT_CURR CD</t>
  </si>
  <si>
    <t>,case when src. UserUpdatedCoverageCurrency = '1' then 'Y' when src. UserUpdatedCoverageCurrency = '0' then 'N' else NULL end as CL_USER_UPDATED_COVG_CURR_FL</t>
  </si>
  <si>
    <t>,case when src. UserUpdatedSettlementCurrency = 'l' then 'Y' when src. UserUpdatedSettlementCurrency = '0' then 'N' else NULL end as CL_USER_UPDATED_STTLMNT_CURR_FL</t>
  </si>
  <si>
    <t>PCX_BP7CLASSIFICATION</t>
  </si>
  <si>
    <t>select -- [insert 'Column Mapping' values here]
from pcx_bp7classification src
join pc_policyperiod polper on polper. ID = src.BranchID
join pc job job on job. ID = polper. JobID
join pctl policyperiodstatus status on status. ID = polper.status
left join pctl_currency PreferredSettlementCurrency on PreferredSettlementCurrency. ID = src. PreferredSettlementCurrency
join pctl_currency PreferredCoverageCurrency on PreferredCoverageCurrency. ID = src.PreferredCoverageCurrency
left join (select branchid, fixedid, EffectiveDate, ExpirationDate,id from
(select poll.branchid,poll.fixedid,poll.EffectiveDate,poll.ExpirationDate,poll.id,
coalesce(poll.EffectiveDate,polper.periodstart) as eff_dt, coalesce (poll.ExpirationDate, polper.periodend) as exp_dt,
polper.periodstart, polper.periodend, row_number () over (partition by poll.branchid, poll.fixedid order by poll.expirationdate desc ) as rn
from pcx_bp7classification poll
join pc_policyperiod polper on polper. ID = poll.BranchID
)pccp7
where pccp7.rn=1
) srcx
on srcx.BranchID = src.BranchID
and srcx. FixedID = src. FixedID
and srcx.id=src.id
where status. TYPECODE = 'Bound'
select * from int_bop_classification</t>
  </si>
  <si>
    <t>BL_WINDSTORM_MITIGATION_DISC_APPLIES</t>
  </si>
  <si>
    <t>BL_YR_HEATING_REPLACED</t>
  </si>
  <si>
    <t>BL_YR_OF_CONSTR</t>
  </si>
  <si>
    <t>BL_YR_PLUMBING_REPLACED</t>
  </si>
  <si>
    <t>BL_YR_ROOFING_REPLACED</t>
  </si>
  <si>
    <t>BL_YR_WIRING_REPLACED</t>
  </si>
  <si>
    <t>BL_BUILDING_TOTAL_SQUARE_FEET</t>
  </si>
  <si>
    <t>BL_INSURED_OCCUPIED_SQUARE_FEET</t>
  </si>
  <si>
    <t>BL_BP_LOC_KEY (FK)</t>
  </si>
  <si>
    <t>BL_BLDG_KEY (FK)</t>
  </si>
  <si>
    <t>BL_BASEMENT_PRESENT</t>
  </si>
  <si>
    <t>BL_BLDG_CD_EFF_GRADE</t>
  </si>
  <si>
    <t>BL_BLDG_CD_EFF_GRADE_CL</t>
  </si>
  <si>
    <t>BL_BLKT_ID_NO</t>
  </si>
  <si>
    <t>BL_CERTIFICATE_LEVEL</t>
  </si>
  <si>
    <t>BL_CONSTR_TYPE</t>
  </si>
  <si>
    <t>BL_TEXT</t>
  </si>
  <si>
    <t>BL_IBHS_CERTIFICATE_TYPE</t>
  </si>
  <si>
    <t>BL_IS_IT_FINISHED</t>
  </si>
  <si>
    <t>BL_NO_OF_STORIES</t>
  </si>
  <si>
    <t>BL_PCT_OWNER_OCCUPIED</t>
  </si>
  <si>
    <t>BL_PREDOMINANTLY_RESIDENTIAL_AND_FOUR_OR_LESS_UNITS</t>
  </si>
  <si>
    <t>BL_PROP_TYPE</t>
  </si>
  <si>
    <t>BL_RABOP_TYPE</t>
  </si>
  <si>
    <t>BL_RABOP_TYPE_LIAB_LESSORS</t>
  </si>
  <si>
    <t>BL_RABOP_WANTED</t>
  </si>
  <si>
    <t>BL_ROOF_TYPE</t>
  </si>
  <si>
    <t>BL_SPRINKLERED</t>
  </si>
  <si>
    <t>BL_TOT_CONDOMINIUM_BLDG_SQUARE_FOOTAGE</t>
  </si>
  <si>
    <t>BL_WIND_CL</t>
  </si>
  <si>
    <t>BL_OCCUPANCY TYPE</t>
  </si>
  <si>
    <t>BP Location Key</t>
  </si>
  <si>
    <t>Building Key</t>
  </si>
  <si>
    <t>Basement Present</t>
  </si>
  <si>
    <t>Bldg Code Eff Grade</t>
  </si>
  <si>
    <t>Bldg Code Eff Grade Class</t>
  </si>
  <si>
    <t>Certificate Level</t>
  </si>
  <si>
    <t>Construction Type</t>
  </si>
  <si>
    <t>Description</t>
  </si>
  <si>
    <t>IBHS Certificate Type</t>
  </si>
  <si>
    <t>Is It Finished</t>
  </si>
  <si>
    <t>Number Of Stories</t>
  </si>
  <si>
    <t>Pct Owner Occupied</t>
  </si>
  <si>
    <t>Predominantly Residential And Four Or Less Units</t>
  </si>
  <si>
    <t>Property Type</t>
  </si>
  <si>
    <t>RABOP Type Liability Lessors</t>
  </si>
  <si>
    <t>Roof Type</t>
  </si>
  <si>
    <t>Sprinklered</t>
  </si>
  <si>
    <t>Total Condominium Building Square Footage</t>
  </si>
  <si>
    <t>Wind Class</t>
  </si>
  <si>
    <t>Windstorm Mitigation Discount Applies</t>
  </si>
  <si>
    <t>Year Heating Replaced</t>
  </si>
  <si>
    <t>Year Of Construction</t>
  </si>
  <si>
    <t>Year Plumbing Replaced</t>
  </si>
  <si>
    <t>Year Roofing Replaced</t>
  </si>
  <si>
    <t>Year Wiring Replaced</t>
  </si>
  <si>
    <t>,src.bp7basementpresent as BL_BASEMENT_PRESENT</t>
  </si>
  <si>
    <t>,src.bp7bldgcodeeffgrade as BL_BLDG_CD_EFF_GRADE</t>
  </si>
  <si>
    <t>,src.bp7bldgcodeeffgradeclass as BL_BLDG_CD_EFF_GRADE_CL</t>
  </si>
  <si>
    <t>,src.bp7blktidnumber as BL_BLKT_ID_NO</t>
  </si>
  <si>
    <t>src.bp7certificatelevel as BL_CERTIFICATE_LEVEL</t>
  </si>
  <si>
    <t>,src.bp7constructiontype as BL_CONSTR_TYPE</t>
  </si>
  <si>
    <t>,src.bp7description as BL_TEXT</t>
  </si>
  <si>
    <t>,src.bp7ibhscertificatetype as BL_IBHS_CERTIFICATE_TYPE</t>
  </si>
  <si>
    <t>,src.bp7isitfinished as BL_IS_IT_FINISHED</t>
  </si>
  <si>
    <t>,src.bp7numberofstories as BL_NO_OF_STORIES</t>
  </si>
  <si>
    <t>src.bp7pctowneroccupied as BL_PCT_OWNER_OCCUPIED</t>
  </si>
  <si>
    <t>src.bp7predominantlyresidentialfou as BL_PREDOMINANTLY_RESIDENTIAL_AND_FOUR_OR_LESS_UNITS</t>
  </si>
  <si>
    <t>src.bp7propertytype as BL_PROP_TYPE</t>
  </si>
  <si>
    <t>,src.bp7rabp7type as BL_RABOP_TYPE</t>
  </si>
  <si>
    <t>,src.bp7rabp7typeliablessors as BL_RABOP_TYPE_LIAB_LESSORS</t>
  </si>
  <si>
    <t>,src.bp7rabp7wanted as BL_RABOP_WANTED</t>
  </si>
  <si>
    <t>,src.bp7rooftype as BL_ROOF_TYPE</t>
  </si>
  <si>
    <t>src.bp7sprinklered as BL_SPRINKLERED</t>
  </si>
  <si>
    <t>src.bp7totalcondominiumbuildingsqu as BL_TOT_CONDOMINIUM_BLDG_SQUARE_FOOTAGE</t>
  </si>
  <si>
    <t>src.bp7windclass as WIND_CL</t>
  </si>
  <si>
    <t>,src.bp7windstormmitigationdiscount as BL_WINDSTORM_MITIGATION_DISC_APPLIES</t>
  </si>
  <si>
    <t>,src.bp7yearheatingreplaced as BL_YR_HEATING_REPLACED</t>
  </si>
  <si>
    <t>,src.bp7yearofconstruction as BL_YR_OF_CONSTR</t>
  </si>
  <si>
    <t>,src.bp7yearplumbingreplaced as BL_YR_PLUMBING_REPLACED</t>
  </si>
  <si>
    <t>src.bp7yearroofingreplaced as BL_YR_ROOFING_REPLACED</t>
  </si>
  <si>
    <t>src.bp7yearwiringreplaced as BL_YR_WIRING_REPLACED</t>
  </si>
  <si>
    <t>,src.bp7buildingtotalsquarefeet as BL_BUILDING_TOTAL_SQAURE_FEET</t>
  </si>
  <si>
    <t>,src.bp7insuredoccupiedsquarefeet as BL_INSURED_OCCUPIED_SQUARE_FEET</t>
  </si>
  <si>
    <t>,src.OCCUPANCYTYPE_EXT as BL_OCCUPANCY_TYPE</t>
  </si>
  <si>
    <t>$sourceSystem' || '-' || cast (polper. PeriodID as varchar2 (1000) ) || '-' || 'BP7LOCATION' | | '-' || cast (src.Location as varchar2 (1000) ) as BL_BP_LOC_KEY</t>
  </si>
  <si>
    <t>,'$sourceSystem' Il '-' I| cast (polper. PeriodID as varchar2(1000)) II '-' Il cast(src.Building as varchar2(1000)) as BL_BLDG_KEY</t>
  </si>
  <si>
    <t>varchar (100)</t>
  </si>
  <si>
    <t>varchar (255)</t>
  </si>
  <si>
    <t>PCX_BP7BUILDING</t>
  </si>
  <si>
    <t>select -- [insert 'Column Mapping' values here]
from pcx_bp7building src
join pc_policyperiod polper on polper. ID = src.BranchID
join pc job job on job.ID = polper. JobID
join pctl policyperiodstatus status on status. ID = polper.status
join pctl_currency PreferredCoverageCurrency on PreferredCoverageCurrency. ID = src.PreferredCoverageCurrency
-- left join pctl jurisdiction State on State. ID = src.State
added newly
left join pctl_currency PreferredSettlementCurrency on PreferredSettlementCurrency. ID = src. PreferredSettlementCurrency
left join pctl_bcegstatus_ext BCEGStat_Ext on BCEGStat_Ext. ID = src.BCEGStat_Ext
left join pctl_substructuretype_ext CESubstructureType on CESubstructureType. ID = src.CESubstructureType
left join (select branchid, fixedid, EffectiveDate, ExpirationDate,id from
(select poll.branchid,poll.fixedid,poll.EffectiveDate,poll.ExpirationDate,poll.id,
coalesce (poll.EffectiveDate,polper.periodstart) as eff_dt, coalesce(poll.ExpirationDate,polper.periodend) as exp_dt,
polper.periodstart, polper.periodend, row_number () over (partition by poll.branchid, poll.fixedid order by poll.expirationdate desc ) as rn
from pcx_bp7building poll
join pc_policyperiod polper on polper.ID = poll.BranchID
)pccp7
where pccp7.rn=1
) srcx
on srcx.BranchID = src.BranchID
and srcx. FixedID = src. FixedID
and srcx.id=src.id
where status. TYPECODE = 'Bound'
select * from int_bop_building
)</t>
  </si>
  <si>
    <t>Dimension</t>
  </si>
  <si>
    <t xml:space="preserve">source </t>
  </si>
  <si>
    <t xml:space="preserve">from/join/where </t>
  </si>
  <si>
    <t xml:space="preserve">Requirments </t>
  </si>
  <si>
    <t>Reason for added</t>
  </si>
  <si>
    <t>BP Coverable DID</t>
  </si>
  <si>
    <t>ETL Row Effective Datetime</t>
  </si>
  <si>
    <t>ETL Row Expiration Datetime</t>
  </si>
  <si>
    <t>Currency Code</t>
  </si>
  <si>
    <t>ETL Endorsement Effective Datetime</t>
  </si>
  <si>
    <t>ETL Endorsement Expiration Datetime</t>
  </si>
  <si>
    <t>Row Process Datetime</t>
  </si>
  <si>
    <t>ETL Current Row Flag</t>
  </si>
  <si>
    <t>ETL Late Arriving Flag</t>
  </si>
  <si>
    <t>ETL Add Datetime</t>
  </si>
  <si>
    <t>ETL Last Update Datetime</t>
  </si>
  <si>
    <t>State Code short text</t>
  </si>
  <si>
    <t>State Code long text</t>
  </si>
  <si>
    <t>Roof Age</t>
  </si>
  <si>
    <t>Building Code</t>
  </si>
  <si>
    <t>Roof Deck</t>
  </si>
  <si>
    <t>Structure Type</t>
  </si>
  <si>
    <t>Mine Subsidence Applies</t>
  </si>
  <si>
    <t>Roof-to-wall Connection</t>
  </si>
  <si>
    <t>Roof Material</t>
  </si>
  <si>
    <t>Windstorm Mitigation Credit</t>
  </si>
  <si>
    <t>Water Resistance</t>
  </si>
  <si>
    <t>Roof Shape</t>
  </si>
  <si>
    <t>Door Strength</t>
  </si>
  <si>
    <t>Roof Deck Attachment Level</t>
  </si>
  <si>
    <t>Roof Deck and Roof Deck Attachment</t>
  </si>
  <si>
    <t>Location</t>
  </si>
  <si>
    <t>Premises Constructed</t>
  </si>
  <si>
    <t>Roof Covering</t>
  </si>
  <si>
    <t>Building Occupancy Type</t>
  </si>
  <si>
    <t>Insured Property is in a county subject to mandatory offer</t>
  </si>
  <si>
    <t>Occupancy Class</t>
  </si>
  <si>
    <t>Mine Subsidence waive</t>
  </si>
  <si>
    <t>Sub-decking</t>
  </si>
  <si>
    <t>Building Type</t>
  </si>
  <si>
    <t>Agreed Value</t>
  </si>
  <si>
    <t>Opening Protection</t>
  </si>
  <si>
    <t>Commercial Condominium Association</t>
  </si>
  <si>
    <t>Building itv</t>
  </si>
  <si>
    <t>Building Total trv</t>
  </si>
  <si>
    <t>Building Total Square Feet</t>
  </si>
  <si>
    <t>Building Total RCV</t>
  </si>
  <si>
    <t>Insured Occupied Square Feet</t>
  </si>
  <si>
    <t>Classification Square Footage</t>
  </si>
  <si>
    <t>Blanket ID Number</t>
  </si>
  <si>
    <t>Classification Code</t>
  </si>
  <si>
    <t>Classification Description</t>
  </si>
  <si>
    <t>Classification number</t>
  </si>
  <si>
    <t>Condominium Bylaws and Declarations Conform with the Arizona Condominium Act of August 7, 1985</t>
  </si>
  <si>
    <t>Condominium Contains at Least One Residence Created After August 7, 1985</t>
  </si>
  <si>
    <t>Liability Exposure</t>
  </si>
  <si>
    <t>Liability Exposure Base</t>
  </si>
  <si>
    <t>Functional Business Personal Property Valuation Applies</t>
  </si>
  <si>
    <t>NAICS Code</t>
  </si>
  <si>
    <t>Predominant</t>
  </si>
  <si>
    <t>Business Personal Property Risk Analyzer Type</t>
  </si>
  <si>
    <t>Liability Occupants Risk Analyzer Type</t>
  </si>
  <si>
    <t>Rate With Risk Analyzer BOP</t>
  </si>
  <si>
    <t>SIC Code</t>
  </si>
  <si>
    <t>String Col 5</t>
  </si>
  <si>
    <t>String Col 6</t>
  </si>
  <si>
    <t>String Col 7</t>
  </si>
  <si>
    <t>Decimal Col 2</t>
  </si>
  <si>
    <t>BCEG Code Ext</t>
  </si>
  <si>
    <t>BCEG Error Message Ext</t>
  </si>
  <si>
    <t>BCEG Stat Ext Code</t>
  </si>
  <si>
    <t>CE Substructure Type Code</t>
  </si>
  <si>
    <t>Freight Elevator Mat Type Ext</t>
  </si>
  <si>
    <t>Freight Elevators Ext</t>
  </si>
  <si>
    <t>Occupancy Code Ext</t>
  </si>
  <si>
    <t>Occupancy Description Ext</t>
  </si>
  <si>
    <t>Override Occ Code Ext Flag</t>
  </si>
  <si>
    <t>Pass Elevator Mat Type Ext</t>
  </si>
  <si>
    <t>Passenger Elevators Ext</t>
  </si>
  <si>
    <t>Sprinkler Material Type Ext</t>
  </si>
  <si>
    <t>Sprinkler Percentage Ext</t>
  </si>
  <si>
    <t>Substructure Area Ext</t>
  </si>
  <si>
    <t>Update BCEG Ext Flag</t>
  </si>
  <si>
    <t>Update ITV Ext Flag</t>
  </si>
  <si>
    <t>Vacant Square Feet Ext</t>
  </si>
  <si>
    <t>BP_CVRBL_KEY</t>
  </si>
  <si>
    <t>END_EFF_DT</t>
  </si>
  <si>
    <t>BOP_CVRBL_ID</t>
  </si>
  <si>
    <t>ETL_ROW_EFF_DTS</t>
  </si>
  <si>
    <t>ETL_ROW_EXP_DTS</t>
  </si>
  <si>
    <t>ETL_END_EFF_DTS</t>
  </si>
  <si>
    <t>ETL_END_EXP_DTS</t>
  </si>
  <si>
    <t>ROW_PROC_DTS</t>
  </si>
  <si>
    <t>ETL_CURR_ROW_FL</t>
  </si>
  <si>
    <t>ETL_LATE_ARRIVING_FL</t>
  </si>
  <si>
    <t>POL_KEY</t>
  </si>
  <si>
    <t>POL_LINE_KEY</t>
  </si>
  <si>
    <t>CVRBL_TYPE_KEY</t>
  </si>
  <si>
    <t>BL IS IT FINISHED</t>
  </si>
  <si>
    <t>LO_PRIV FIRE DEPT</t>
  </si>
  <si>
    <t>ETL_ADD_DTS</t>
  </si>
  <si>
    <t>ETL_LAST_UPDATE_DTS</t>
  </si>
  <si>
    <t>JS_STATE_CCD</t>
  </si>
  <si>
    <t>JS_STATE_CD_CST</t>
  </si>
  <si>
    <t>JS_STATE_CD_CLT</t>
  </si>
  <si>
    <t>BL_ROOF_AGE</t>
  </si>
  <si>
    <t>BL_BUILDING_CODE</t>
  </si>
  <si>
    <t>BL_ROOF_DECK</t>
  </si>
  <si>
    <t>BL_STRUCTURE_TYPE</t>
  </si>
  <si>
    <t>BL_MINE_SUB_SIDENCE_APPLIES</t>
  </si>
  <si>
    <t>BL_ROOF_WALL_CONNECTION</t>
  </si>
  <si>
    <t>BL_ROOF_MATERIAL</t>
  </si>
  <si>
    <t>BL_WIND_STORM_INCLUDED</t>
  </si>
  <si>
    <t>BL_WATER_RESISTANCE</t>
  </si>
  <si>
    <t>BL_ROOF_SHAPE</t>
  </si>
  <si>
    <t>BL_DOOR_STRENGTH</t>
  </si>
  <si>
    <t>BL_LEVEL</t>
  </si>
  <si>
    <t>BL_ROOF_DECK_BUILDING_TYPEII</t>
  </si>
  <si>
    <t>BL_AREA</t>
  </si>
  <si>
    <t>BL_CONSTRUCTED</t>
  </si>
  <si>
    <t>BL_ROOF_COVER</t>
  </si>
  <si>
    <t>BL_BUILDING_OCCUPANCY_TYPE</t>
  </si>
  <si>
    <t>BL_MINE_SUB_SIDENCE_INSURED_PROPER</t>
  </si>
  <si>
    <t>BL_OCCUPANCY_CLASS</t>
  </si>
  <si>
    <t>BL_MINE_SUB_SIDENCE_WAIVED</t>
  </si>
  <si>
    <t>BL_SUB_DECKING</t>
  </si>
  <si>
    <t>BL_BUILDING_GROUP</t>
  </si>
  <si>
    <t>BL_AGREED_VALUE_OF_BUILDING</t>
  </si>
  <si>
    <t>BL OPENING PROTECTION</t>
  </si>
  <si>
    <t>BL_COMMERCIAL_CONDOMINIUM</t>
  </si>
  <si>
    <t>BL_IBHS_CERTIFICATE_TYPE_2</t>
  </si>
  <si>
    <t>BL_BUILDING_ITV</t>
  </si>
  <si>
    <t>BL_BUILDING_TOTAL_RCV</t>
  </si>
  <si>
    <t>BL_CE_BUILDING_TOTAL_RCV</t>
  </si>
  <si>
    <t>BL_OCCUPANCY_TYPE</t>
  </si>
  <si>
    <t>CL_BP_BLDG_KEY</t>
  </si>
  <si>
    <t>STR_COL_5</t>
  </si>
  <si>
    <t>STR_COL_6</t>
  </si>
  <si>
    <t>STR_COL_7</t>
  </si>
  <si>
    <t>DECIMAL_COL_2</t>
  </si>
  <si>
    <t>BL_BCEG_CD_EXT</t>
  </si>
  <si>
    <t>BL_BCEG_ERR_MSG_EXT</t>
  </si>
  <si>
    <t>BL_BCEG_STAT_EXT_CD</t>
  </si>
  <si>
    <t>BL_CE_SUBSTRUCTURE_TYPE_CD</t>
  </si>
  <si>
    <t>BL_FREIGHT_ELEVATOR_MAT_TYPE_EXT</t>
  </si>
  <si>
    <t>BL FREIGHT ELEVATORS EXT</t>
  </si>
  <si>
    <t>BL_OCCPNCY_CD_EXT</t>
  </si>
  <si>
    <t>BL_OCCPNCY_TEXT_EXT</t>
  </si>
  <si>
    <t>BL_OVRD_OCC_CD_EXT_FL</t>
  </si>
  <si>
    <t>BL_PASS_ELEVATOR_MAT_TYPE_EXT</t>
  </si>
  <si>
    <t>BL_PSNGR_ELEVATORS_EXT</t>
  </si>
  <si>
    <t>BL_PREFD_STTLMNT_CURR_CD</t>
  </si>
  <si>
    <t>BL_SPRINKLER_MATERIAL_TYPE_EXT</t>
  </si>
  <si>
    <t>BL_SPRINKLER_PCT_EXT</t>
  </si>
  <si>
    <t>BL_SUBSTRUCTURE_AREA_EXT</t>
  </si>
  <si>
    <t>BL_UPDATE_BCEG_EXT_FL</t>
  </si>
  <si>
    <t>BL_UPDATE_ITV_EXT_FL</t>
  </si>
  <si>
    <t>BL_USER_UPDATED_COVG_CURR_FL</t>
  </si>
  <si>
    <t>BL_USER_UPDATED_STTLMNT_CURR_FL</t>
  </si>
  <si>
    <t>BL_VACANT_SQUARE_FEET_EXT</t>
  </si>
  <si>
    <t>CL_EQ_SUB_LMT_FCTR_EXT</t>
  </si>
  <si>
    <t>SURROGATE</t>
  </si>
  <si>
    <t>DATE TIMESTAMP</t>
  </si>
  <si>
    <t>DATE CODE</t>
  </si>
  <si>
    <t>SOURCE SYSTEM</t>
  </si>
  <si>
    <t>TEXT_MED</t>
  </si>
  <si>
    <t>VALUE AMOUNT</t>
  </si>
  <si>
    <t>Variable characters(255)</t>
  </si>
  <si>
    <t>Number (18,4)</t>
  </si>
  <si>
    <t>delta.BP_CVRBL_KEY</t>
  </si>
  <si>
    <t>,delta.END_EFF_DT</t>
  </si>
  <si>
    <t>,delta.BP_CVRBL_ID</t>
  </si>
  <si>
    <t>,delta.ETL_ROW_EFF_DTS</t>
  </si>
  <si>
    <t>,delta.ETL_ROW_EXP_DTS</t>
  </si>
  <si>
    <t>,delta.END_EXP_DT</t>
  </si>
  <si>
    <t>,delta.SOURCE_SYSTEM</t>
  </si>
  <si>
    <t>,delta.CVRBL_TYPE_CD</t>
  </si>
  <si>
    <t>,delta. PREFD_COVG_CURR_CD</t>
  </si>
  <si>
    <t>,delta.ETL_END_EFF_DTS</t>
  </si>
  <si>
    <t>,delta.ETL_END_EXP_DTS</t>
  </si>
  <si>
    <t>,delta.ROW_PROC_DTS</t>
  </si>
  <si>
    <t>,delta.ETL_CURR_ROW_FL</t>
  </si>
  <si>
    <t>,delta.ETL_LATE_ARRIVING_FL</t>
  </si>
  <si>
    <t>,delta. POL_KEY</t>
  </si>
  <si>
    <t>,delta. POL_LINE_KEY</t>
  </si>
  <si>
    <t>,delta.CVRBL_TYPE_KEY</t>
  </si>
  <si>
    <t>,delta.BL_BLDG_CD_EFF_GRADE</t>
  </si>
  <si>
    <t>,delta.BL_BLDG_KEY (FK)</t>
  </si>
  <si>
    <t>,delta.BL_BP_LOC_KEY (FK)</t>
  </si>
  <si>
    <t>,delta.BL_CERTIFICATE_LEVEL</t>
  </si>
  <si>
    <t>,delta.BL_PROP_TYPE</t>
  </si>
  <si>
    <t>,delta.BL_RABOP_TYPE</t>
  </si>
  <si>
    <t>,delta.BL_RABOP_TYPE_LIAB_LESSORS</t>
  </si>
  <si>
    <t>,delta.BL_RABOP_WANTED</t>
  </si>
  <si>
    <t>,delta.BL_SPRINKLERED</t>
  </si>
  <si>
    <t>,delta.BL_TEXT</t>
  </si>
  <si>
    <t>,delta.BL_WINDSTORM_MITIGATION_DISC_APPLIES</t>
  </si>
  <si>
    <t>,delta.BL_WIND_CL</t>
  </si>
  <si>
    <t>,delta.BL IS IT FINISHED</t>
  </si>
  <si>
    <t>,delta.LO_CITY</t>
  </si>
  <si>
    <t>,delta.LO_FIRE_PROT_CL_PPC</t>
  </si>
  <si>
    <t>,delta.LO_LOC_KEY (FK)</t>
  </si>
  <si>
    <t>,delta.LO_PPC_STATUS_EXT_CD</t>
  </si>
  <si>
    <t>,delta.LO_UNIT_NO</t>
  </si>
  <si>
    <t>,delta.LO_ZIP_CD</t>
  </si>
  <si>
    <t>,delta.LO_OVRD_PPC_EXT_FL</t>
  </si>
  <si>
    <t>,delta.LO_RATING_TERR</t>
  </si>
  <si>
    <t>,delta.LO_COUNTY</t>
  </si>
  <si>
    <t>,delta. JS_LIQUOR_LIAB_GRADE</t>
  </si>
  <si>
    <t>,delta. JS_LIQUOR_LIAB_GRADE_OFF_PREMISE</t>
  </si>
  <si>
    <t>,delta. JS_LIQUOR_LIAB_GRADE_ON_PREMISE</t>
  </si>
  <si>
    <t>,delta.JS_STATE_CD</t>
  </si>
  <si>
    <t>delta.BL_BASEMENT_PRESENT</t>
  </si>
  <si>
    <t>,delta.BL_CONSTR_TYPE</t>
  </si>
  <si>
    <t>,delta.BL_NO_OF_STORIES</t>
  </si>
  <si>
    <t>,delta.BL_PREDOMINANTLY_RESIDENTIAL_AND_FOUR_OR_LESS_UNITS</t>
  </si>
  <si>
    <t>,delta.BL_ROOF_TYPE</t>
  </si>
  <si>
    <t>,delta.BL_YR_HEATING_REPLACED</t>
  </si>
  <si>
    <t>,delta.BL_YR_OF_CONSTR</t>
  </si>
  <si>
    <t>,delta.BL_YR_PLUMBING_REPLACED</t>
  </si>
  <si>
    <t>,delta.BL_YR_ROOFING_REPLACED</t>
  </si>
  <si>
    <t>,delta.BL_YR_WIRING_REPLACED</t>
  </si>
  <si>
    <t>,delta.BL_BLKT_ID_NO</t>
  </si>
  <si>
    <t>,delta.BL_IBHS_CERTIFICATE_TYPE</t>
  </si>
  <si>
    <t>,delta.BL_PCT_OWNER_OCCUPIED</t>
  </si>
  <si>
    <t>,delta.LO_FEET_TO_HYDRANT</t>
  </si>
  <si>
    <t>,delta.LO_IS_DIST_FIRE_HYDRANT_AVL_EXT_FL</t>
  </si>
  <si>
    <t>,delta.LO_OLD_PROTECT_CL_EXT</t>
  </si>
  <si>
    <t>,delta.LO_PRIV_FIRE_DEPT</t>
  </si>
  <si>
    <t>,delta.BL_TOT_CONDOMINIUM_BLDG_SQUARE_FOOTAGE</t>
  </si>
  <si>
    <t>,@PV_SystemDate AS ETL_ADD_DTS</t>
  </si>
  <si>
    <t>,@PV_SystemDate AS ETL_LAST_UPDATE_DTS</t>
  </si>
  <si>
    <t>,rclv.CONF_REF_CD</t>
  </si>
  <si>
    <t>,rclv.CONF_SHORT_TEXT</t>
  </si>
  <si>
    <t>,rclv.CONF_LONG_TEXT</t>
  </si>
  <si>
    <t>,delta.BL_ROOF_AGE</t>
  </si>
  <si>
    <t>,delta.BL_BUILDING_CODE</t>
  </si>
  <si>
    <t>delta.BL_ROOF_DECK</t>
  </si>
  <si>
    <t>,delta.BL_STRUCTURE_TYPE</t>
  </si>
  <si>
    <t>,delta.BL_MINE_SUB_SIDENCE_APPLIES</t>
  </si>
  <si>
    <t>,delta.BL_ROOF_WALL_CONNECTION</t>
  </si>
  <si>
    <t>,delta.BL_ROOF_MATERIAL</t>
  </si>
  <si>
    <t>,delta.BL_WIND_STORM_INCLUDED</t>
  </si>
  <si>
    <t>,delta.BL_WATER_RESISTANCE</t>
  </si>
  <si>
    <t>,delta.BL_ROOF_SHAPE</t>
  </si>
  <si>
    <t>,delta.BL_DOOR_STRENGTH</t>
  </si>
  <si>
    <t>,delta.BL_LEVEL</t>
  </si>
  <si>
    <t>,delta.BL_ROOF_DECK_BUILDING_TYPEII</t>
  </si>
  <si>
    <t>,delta.BL_AREA</t>
  </si>
  <si>
    <t>delta.BL_CONSTRUCTED</t>
  </si>
  <si>
    <t>,delta.BL_ROOF_COVER</t>
  </si>
  <si>
    <t>,delta.BL_BUILDING_OCCUPANCY_TYPE</t>
  </si>
  <si>
    <t>,delta.BL_MINE_SUB_SIDENCE_INSURED_PROPER</t>
  </si>
  <si>
    <t>,delta.BL_OCCUPANCY_CLASS</t>
  </si>
  <si>
    <t>,delta.BL_MINE_SUB_SIDENCE_WAIVED</t>
  </si>
  <si>
    <t>,delta.BL_SUB_DECKING</t>
  </si>
  <si>
    <t>,delta.BL_BUILDING_GROUP</t>
  </si>
  <si>
    <t>,delta.BL_AGREED_VALUE_OF_BUILDING</t>
  </si>
  <si>
    <t>,delta.BL_OPENING_PROTECTION</t>
  </si>
  <si>
    <t>delta.BL_COMMERCIAL_CONDOMINIUM</t>
  </si>
  <si>
    <t>,delta.BL_IBHS_CERTIFICATE_TYPE_2</t>
  </si>
  <si>
    <t>,delta.CL_TOWN_HOUSE_BY_LAW</t>
  </si>
  <si>
    <t>,delta.CL_PLUMBING_LICENSE</t>
  </si>
  <si>
    <t>,delta.CL_TOWN_HOUSE_ASSOC</t>
  </si>
  <si>
    <t>,delta.CL_CONTRACTORS_WORK</t>
  </si>
  <si>
    <t>,delta.BL_BLDG_CD_EFF_GRADE_CL</t>
  </si>
  <si>
    <t>,delta.BL_BUILDING_ITV</t>
  </si>
  <si>
    <t>,delta.BL_BUILDING_TOTAL_RCV</t>
  </si>
  <si>
    <t>,delta.BL_BUILDING_TOTAL_SQUARE_FEET</t>
  </si>
  <si>
    <t>,delta.BL_CE_BUILDING_TOTAL_RCV</t>
  </si>
  <si>
    <t>,delta.BL_INSURED_OCCUPIED_SQUARE_FEET</t>
  </si>
  <si>
    <t>,delta.BL_OCCUPANCY_TYPE</t>
  </si>
  <si>
    <t>,delta.CL_AREA</t>
  </si>
  <si>
    <t>,delta.CL_BLKT_ID_NO</t>
  </si>
  <si>
    <t>,delta.CL_BP_BLDG_KEY</t>
  </si>
  <si>
    <t>,delta.CL_CL_CD</t>
  </si>
  <si>
    <t>,delta.CL_CL_GRP</t>
  </si>
  <si>
    <t>,delta.CL_CL_PROP_TYPE</t>
  </si>
  <si>
    <t>,delta.CL_CL_TEXT</t>
  </si>
  <si>
    <t>,delta.CL_CLASS_NO</t>
  </si>
  <si>
    <t>,delta.CL_CONDO_BYLAWS</t>
  </si>
  <si>
    <t>,delta.CL_CONDO_RESIDENCE</t>
  </si>
  <si>
    <t>,delta.CL_EXPSR</t>
  </si>
  <si>
    <t>,delta.CL_EXPSR_BASIS</t>
  </si>
  <si>
    <t>,delta.CL_FUNCTL_BUSN_PRSNL_PROP_VALTN_APPLY</t>
  </si>
  <si>
    <t>,delta.CL_NORTH_AMERICAN_INDUSTRY_CLASS_SYS_NAICS_CD</t>
  </si>
  <si>
    <t>,delta.CL_PREDOMINANT_FL</t>
  </si>
  <si>
    <t>,delta.CL_RABOP_TYPE</t>
  </si>
  <si>
    <t>,delta.CL_RABOP_TYPE_LIAB_OCCUPANTS</t>
  </si>
  <si>
    <t>,delta.CL_RABOP_WANTED</t>
  </si>
  <si>
    <t>,delta.CL_RATE_NO</t>
  </si>
  <si>
    <t>,delta.CL_STD_INDUSTRIAL_CLASS_SIC_CD</t>
  </si>
  <si>
    <t>,delta.CL_TEXT_OF_PROP_OR_COVG</t>
  </si>
  <si>
    <t>,delta.STR_COL_5</t>
  </si>
  <si>
    <t>,delta.STR_COL_6</t>
  </si>
  <si>
    <t>,delta.STR_COL_7</t>
  </si>
  <si>
    <t>,delta.DECIMAL_COL_2</t>
  </si>
  <si>
    <t>,delta.JS_LIAB_CO_TIER_EXT</t>
  </si>
  <si>
    <t>,delta.JS_LIAB_TIER_FCTR_EXT</t>
  </si>
  <si>
    <t>,delta. JS_MI_LIQUOR_COMPLIANCE_EXT</t>
  </si>
  <si>
    <t>,delta.JS_PREFD_COVG_CURR_CD</t>
  </si>
  <si>
    <t>,delta.JS_PREFD_STTLMNT_CURR_CD</t>
  </si>
  <si>
    <t>,delta. JS_PRICING_MODEL_ORDER_DT_EXT_DTS</t>
  </si>
  <si>
    <t>,delta. JS_PRICING_MODEL_ORDER_STATUS_EXT_CD</t>
  </si>
  <si>
    <t>,delta. JS_PROP_CO_TIER_EXT</t>
  </si>
  <si>
    <t>,delta.JS_PROP_TIER_FCTR_EXT</t>
  </si>
  <si>
    <t>,delta.JS_USER_UPDATED_COVG_CURR_FL</t>
  </si>
  <si>
    <t>,delta. JS_USER_UPDATED_STTLMNT_CURR_FL</t>
  </si>
  <si>
    <t>,delta.LO_EQ_TERR_EXT</t>
  </si>
  <si>
    <t>,delta.LO_PREFD_STTLMNT_CURR_CD</t>
  </si>
  <si>
    <t>,delta.LO_USER_UPDATED_COVG_CURR_FL</t>
  </si>
  <si>
    <t>,delta.LO_USER_UPDATED_STTLMNT_CURR_FL</t>
  </si>
  <si>
    <t>,delta.BL_BCEG_CD_EXT</t>
  </si>
  <si>
    <t>,delta.BL_BCEG_ERR_MSG_EXT</t>
  </si>
  <si>
    <t>,delta.BL_BCEG_STAT_EXT_CD</t>
  </si>
  <si>
    <t>,delta.BL_CE_SUBSTRUCTURE_TYPE_CD</t>
  </si>
  <si>
    <t>,delta.BL_FREIGHT_ELEVATOR_MAT_TYPE_EXT</t>
  </si>
  <si>
    <t>,delta.BL_FREIGHT_ELEVATORS_EXT</t>
  </si>
  <si>
    <t>,delta.BL_OCCPNCY_CD_EXT</t>
  </si>
  <si>
    <t>,delta.BL_OCCPNCY_TEXT_EXT</t>
  </si>
  <si>
    <t>,delta.BL_OVRD_OCC_CD_EXT_FL</t>
  </si>
  <si>
    <t>,delta.BL_PASS_ELEVATOR_MAT_TYPE_EXT</t>
  </si>
  <si>
    <t>,delta.BL_PSNGR_ELEVATORS_EXT</t>
  </si>
  <si>
    <t>,delta.BL_PREFD_STTLMNT_CURR_CD</t>
  </si>
  <si>
    <t>,delta.BL_SPRINKLER_MATERIAL_TYPE_EXT</t>
  </si>
  <si>
    <t>,delta.BL_SPRINKLER_PCT_EXT</t>
  </si>
  <si>
    <t>,delta.BL_SUBSTRUCTURE_AREA_EXT</t>
  </si>
  <si>
    <t>,delta.BL_UPDATE_BCEG_EXT_FL</t>
  </si>
  <si>
    <t>,delta.BL_UPDATE_ITV_EXT_FL</t>
  </si>
  <si>
    <t>,delta.BL_USER_UPDATED_COVG_CURR_FL</t>
  </si>
  <si>
    <t>,delta.BL_USER_UPDATED_STTLMNT_CURR_FL</t>
  </si>
  <si>
    <t>,delta.BL_VACANT_SQUARE_FEET_EXT</t>
  </si>
  <si>
    <t>,delta.CL_AUDITED_EXPSR_EXT</t>
  </si>
  <si>
    <t>,delta.CL_BUS_CERT_EXT</t>
  </si>
  <si>
    <t>,delta.CL_CNTRCT_IA_CD_CH_EXT</t>
  </si>
  <si>
    <t>,delta.CL_CONDO_LAW_DEC_EXT</t>
  </si>
  <si>
    <t>,delta.CL_CONDO_LAW_PROJ_EXT</t>
  </si>
  <si>
    <t>,delta.CL_EQ_FCTR_EXT</t>
  </si>
  <si>
    <t>,delta.CL_EQ_SUB_LMT_FCTR_EXT</t>
  </si>
  <si>
    <t>,delta.CL_IF_ANY_BASIS_EXT</t>
  </si>
  <si>
    <t>,delta.CL_NO_OF_CAR_WASH_BAYS_EXT</t>
  </si>
  <si>
    <t>,delta.CL_NO_OF_FUEL_PUMPS_EXT</t>
  </si>
  <si>
    <t>,delta.CL_PEST_HERB_POLL_EXT</t>
  </si>
  <si>
    <t>,delta.CL_PREFD_STTLMNT_CURR_CD</t>
  </si>
  <si>
    <t>,delta.CL_USER_UPDATED_COVG_CURR_FL</t>
  </si>
  <si>
    <t>,delta.CL_USER_UPDATED_STTLMNT_CURR_FL</t>
  </si>
  <si>
    <t>with cs_dim_cvrbl as (select * from DEV_EDW_DATAHUB.DATA_HUB. z_cs_bop_cvrbl_wide)
select
-- to make IC Dim always consitent with respective DH so we dont need to add later
delta .* exclude (ETL_ADD_DTS , ETL_LAST_UPDATE_DTS )
,to_timestamp_ntz (current_timestamp) as ETL_ADD_DTS
,to_timestamp_ntz (current_timestamp) as ETL_LAST_UPDATE_DTS
,rclv.CONF_REF_CD as JS_STATE_CCD
,rclv.CONF_SHORT_TEXT as JS_STATE_CST
,rclv.CONF_LONG_TEXT as JS_STATE_CLT
from
cs_dim_cvrbl delta
-- LEFT JOIN DEV_GW_DATAHUB. DATA_HUB.REF_CONFORMED_LOOKUP_VW ref
LEFT JOIN {{source ('sources_datahub_common' , 'ref_conformed_lookup_vw') }} rclv
on rclv.REF_SOURCE_SYSTEM = delta. SOURCE_SYSTEM
and rclv.REF_CD = delta. JS_STATE_CD
and rclv.REF_CONF_TYPE_CD = 'EDW'
and rclv.REF_ENTITY_TYPE_CD = 'jurs_state'</t>
  </si>
  <si>
    <t>z_cs_bp_cvrbl_wide</t>
  </si>
  <si>
    <t>DIM_BOP_CVRBL</t>
  </si>
  <si>
    <t>TEXT_LARGE</t>
  </si>
  <si>
    <t>Base</t>
  </si>
  <si>
    <t>Coverable_items</t>
  </si>
  <si>
    <t>{% macro m_cast_string(expr) -%}</t>
  </si>
  <si>
    <t xml:space="preserve">    cast({{ expr }} as varchar)</t>
  </si>
  <si>
    <t>{%- endmacro %}</t>
  </si>
  <si>
    <t>{% macro m_not_equal_null(left_expr, right_expr) -%}</t>
  </si>
  <si>
    <t xml:space="preserve">    {%- if target.type == 'snowflake' -%}</t>
  </si>
  <si>
    <t xml:space="preserve">        not(equal_null({{ left_expr }}, {{ right_expr }}))</t>
  </si>
  <si>
    <t xml:space="preserve">    {%- else -%}</t>
  </si>
  <si>
    <t xml:space="preserve">        {{ left_expr }} is distinct from {{ right_expr }}</t>
  </si>
  <si>
    <t xml:space="preserve">    {%- endif -%}</t>
  </si>
  <si>
    <t>{% macro m_timestamp_ntz(expr) -%}</t>
  </si>
  <si>
    <t xml:space="preserve">        to_timestamp_ntz({{ expr }})</t>
  </si>
  <si>
    <t xml:space="preserve">        cast({{ expr }} as timestamp)</t>
  </si>
  <si>
    <t>{% macro m_sentinel_row_proc_dts() -%}</t>
  </si>
  <si>
    <t xml:space="preserve">        to_timestamp('9000-12-31 00:00:00.000')</t>
  </si>
  <si>
    <t xml:space="preserve">        cast('9000-12-31 00:00:00.000' as timestamp)</t>
  </si>
  <si>
    <t>{% macro m_generate_surrogate_key(fields) -%}</t>
  </si>
  <si>
    <t xml:space="preserve">    {%- set field_exprs = [] -%}</t>
  </si>
  <si>
    <t xml:space="preserve">    {%- for field in fields -%}</t>
  </si>
  <si>
    <t xml:space="preserve">        {%- do field_exprs.append("coalesce(" ~ m_cast_string(field) ~ ", '_dbt_utils_surrogate_key_null_')") -%}</t>
  </si>
  <si>
    <t xml:space="preserve">        {%- if not loop.last -%}</t>
  </si>
  <si>
    <t xml:space="preserve">            {%- do field_exprs.append("'-'") -%}</t>
  </si>
  <si>
    <t xml:space="preserve">        {%- endif -%}</t>
  </si>
  <si>
    <t xml:space="preserve">    {%- endfor -%}</t>
  </si>
  <si>
    <t xml:space="preserve">    md5(concat({{ field_exprs | join(', ') }}))</t>
  </si>
  <si>
    <t>{% macro m_qualified_cols(alias, cols) -%}</t>
  </si>
  <si>
    <t xml:space="preserve">    {%- set qualified_cols = [] -%}</t>
  </si>
  <si>
    <t xml:space="preserve">    {%- for col in cols -%}</t>
  </si>
  <si>
    <t xml:space="preserve">        {%- do qualified_cols.append(alias ~ "." ~ col) -%}</t>
  </si>
  <si>
    <t xml:space="preserve">    {{ qualified_cols | join(", ") }}</t>
  </si>
  <si>
    <t>{% macro m_scd2_scd1_marts(int_stg_table_name, keys, scd2_cols, scd1_cols) -%}</t>
  </si>
  <si>
    <t>{%- set model_nm = model.name | lower -%}</t>
  </si>
  <si>
    <t>{%- if model_nm.startswith('cs_') -%}</t>
  </si>
  <si>
    <t xml:space="preserve">    {%- set surr_id_nm = model_nm[3:] ~ '_id' -%}</t>
  </si>
  <si>
    <t>{%- elif model_nm.startswith('z_cs_') -%}</t>
  </si>
  <si>
    <t xml:space="preserve">    {%- set surr_id_nm = model_nm[5:] ~ '_id' -%}</t>
  </si>
  <si>
    <t>{%- else -%}</t>
  </si>
  <si>
    <t xml:space="preserve">    {%- set surr_id_nm = model_nm ~ '_id' -%}</t>
  </si>
  <si>
    <t>{%- endif -%}</t>
  </si>
  <si>
    <t>{%- set scd2_keys = keys + ['ETL_ROW_EFF_DTS'] -%}</t>
  </si>
  <si>
    <t>{%- set surr_key_id = m_generate_surrogate_key(scd2_keys) -%}</t>
  </si>
  <si>
    <t>{%- set source_keys = [] -%}</t>
  </si>
  <si>
    <t>{%- for key in keys -%}</t>
  </si>
  <si>
    <t xml:space="preserve">    {%- do source_keys.append("DBT_INTERNAL_SOURCE." ~ key) -%}</t>
  </si>
  <si>
    <t>{%- endfor -%}</t>
  </si>
  <si>
    <t>{%- set source_keys = source_keys | join(", ") -%}</t>
  </si>
  <si>
    <t>{%- set dest_keys = source_keys | replace("DBT_INTERNAL_SOURCE", "DBT_INTERNAL_DEST") -%}</t>
  </si>
  <si>
    <t>{%- set incremental_predicates = ["md5(concat(" ~ source_keys ~ ")) = md5(concat(" ~ dest_keys ~ "))"] -%}</t>
  </si>
  <si>
    <t>{%- set conditions = [] -%}</t>
  </si>
  <si>
    <t>{%- for col in scd2_cols -%}</t>
  </si>
  <si>
    <t xml:space="preserve">    {%- do conditions.append("(" ~ m_not_equal_null("SRC." ~ col, "TGT." ~ col) ~ ")") -%}</t>
  </si>
  <si>
    <t>{%- set conditions = conditions | join(" or ") -%}</t>
  </si>
  <si>
    <t>{%- set join_conditions = [] -%}</t>
  </si>
  <si>
    <t xml:space="preserve">    {%- do join_conditions.append("SRC." ~ key ~ " = TGT." ~ key) -%}</t>
  </si>
  <si>
    <t>{%- set join_conditions = join_conditions | join(" and ") -%}</t>
  </si>
  <si>
    <t>{{</t>
  </si>
  <si>
    <t xml:space="preserve">    config(</t>
  </si>
  <si>
    <t xml:space="preserve">        materialized='incremental',</t>
  </si>
  <si>
    <t xml:space="preserve">        alias=model_nm | upper,</t>
  </si>
  <si>
    <t xml:space="preserve">        incremental_strategy='merge',</t>
  </si>
  <si>
    <t xml:space="preserve">        unique_key=scd2_keys,</t>
  </si>
  <si>
    <t xml:space="preserve">        incremental_predicates=incremental_predicates,</t>
  </si>
  <si>
    <t xml:space="preserve">        merge_update_columns=['ROW_PROC_DTS', 'ETL_LAST_UPDATE_DTS', 'ETL_CURR_ROW_FL'],</t>
  </si>
  <si>
    <t xml:space="preserve">        meta={</t>
  </si>
  <si>
    <t xml:space="preserve">            'update_scd1cols_on_scd2': {</t>
  </si>
  <si>
    <t xml:space="preserve">                'key_cols': keys,</t>
  </si>
  <si>
    <t xml:space="preserve">                'scd1_cols': scd1_cols,</t>
  </si>
  <si>
    <t xml:space="preserve">                'current_model': model.name,</t>
  </si>
  <si>
    <t xml:space="preserve">                'src_intstg_table_nm': int_stg_table_name</t>
  </si>
  <si>
    <t xml:space="preserve">            }</t>
  </si>
  <si>
    <t xml:space="preserve">        },</t>
  </si>
  <si>
    <t xml:space="preserve">        post_hook=["{{ m_update_scd1_post() }}"]</t>
  </si>
  <si>
    <t xml:space="preserve">    )</t>
  </si>
  <si>
    <t>}}</t>
  </si>
  <si>
    <t>{%- if not is_incremental() %}</t>
  </si>
  <si>
    <t>select</t>
  </si>
  <si>
    <t xml:space="preserve">    {{ keys | join(", ") }},</t>
  </si>
  <si>
    <t xml:space="preserve">    {{ surr_key_id }} as {{ surr_id_nm | upper }},</t>
  </si>
  <si>
    <t xml:space="preserve">    {{ scd2_cols | join(", ") }},</t>
  </si>
  <si>
    <t xml:space="preserve">    ETL_ROW_EFF_DTS,</t>
  </si>
  <si>
    <t xml:space="preserve">    coalesce(</t>
  </si>
  <si>
    <t xml:space="preserve">        lead(ETL_ROW_EFF_DTS) over (</t>
  </si>
  <si>
    <t xml:space="preserve">            partition by {{ keys | join(", ") }}</t>
  </si>
  <si>
    <t xml:space="preserve">            order by ETL_ROW_EFF_DTS</t>
  </si>
  <si>
    <t xml:space="preserve">        ),</t>
  </si>
  <si>
    <t xml:space="preserve">        {{ m_sentinel_row_proc_dts() }}</t>
  </si>
  <si>
    <t xml:space="preserve">    ) as ROW_PROC_DTS,</t>
  </si>
  <si>
    <t xml:space="preserve">    case</t>
  </si>
  <si>
    <t xml:space="preserve">        when lead(ETL_ROW_EFF_DTS) over (</t>
  </si>
  <si>
    <t xml:space="preserve">        ) is null then 'Y'</t>
  </si>
  <si>
    <t xml:space="preserve">        else 'N'</t>
  </si>
  <si>
    <t xml:space="preserve">    end as ETL_CURR_ROW_FL,</t>
  </si>
  <si>
    <t xml:space="preserve">    {{ m_timestamp_ntz('current_timestamp') }} as ETL_ADD_DTS,</t>
  </si>
  <si>
    <t xml:space="preserve">    {{ m_timestamp_ntz('current_timestamp') }} as ETL_LAST_UPDATE_DTS,</t>
  </si>
  <si>
    <t xml:space="preserve">    'N' as ETL_LATE_ARRIVING_FL,</t>
  </si>
  <si>
    <t xml:space="preserve">    {{ scd1_cols | join(", ") }}</t>
  </si>
  <si>
    <t>from {{ ref(int_stg_table_name) }}</t>
  </si>
  <si>
    <t>{%- endif %}</t>
  </si>
  <si>
    <t>{%- if is_incremental() %}</t>
  </si>
  <si>
    <t>with src_ranked as (</t>
  </si>
  <si>
    <t xml:space="preserve">    select</t>
  </si>
  <si>
    <t xml:space="preserve">        SRC.*,</t>
  </si>
  <si>
    <t xml:space="preserve">        row_number() over (</t>
  </si>
  <si>
    <t xml:space="preserve">            partition by {{ m_qualified_cols('SRC', keys) }}</t>
  </si>
  <si>
    <t xml:space="preserve">            order by SRC.ETL_ROW_EFF_DTS</t>
  </si>
  <si>
    <t xml:space="preserve">        ) as SRC_ROW_NUM</t>
  </si>
  <si>
    <t xml:space="preserve">    from {{ ref(int_stg_table_name) }} SRC</t>
  </si>
  <si>
    <t>),</t>
  </si>
  <si>
    <t>src_tgt_res as (</t>
  </si>
  <si>
    <t xml:space="preserve">        {{ m_qualified_cols('SRC', keys) }},</t>
  </si>
  <si>
    <t xml:space="preserve">        {{ m_qualified_cols('SRC', scd2_cols) }},</t>
  </si>
  <si>
    <t xml:space="preserve">        SRC.ETL_ROW_EFF_DTS,</t>
  </si>
  <si>
    <t xml:space="preserve">        case</t>
  </si>
  <si>
    <t xml:space="preserve">            when SRC.SRC_ROW_NUM &gt;= 2 then 'Y'</t>
  </si>
  <si>
    <t xml:space="preserve">            when {{ conditions }} then 'Y'</t>
  </si>
  <si>
    <t xml:space="preserve">            else 'N'</t>
  </si>
  <si>
    <t xml:space="preserve">        end as SRC_TGT_RETAIN_FL,</t>
  </si>
  <si>
    <t xml:space="preserve">        ) as SRC_TGT_ROW_NUM,</t>
  </si>
  <si>
    <t xml:space="preserve">        {{ m_qualified_cols('SRC', scd1_cols) }}</t>
  </si>
  <si>
    <t xml:space="preserve">    from src_ranked SRC</t>
  </si>
  <si>
    <t xml:space="preserve">    left join {{ this }} TGT</t>
  </si>
  <si>
    <t xml:space="preserve">        on {{ join_conditions }}</t>
  </si>
  <si>
    <t xml:space="preserve">        and TGT.ETL_CURR_ROW_FL = 'Y'</t>
  </si>
  <si>
    <t xml:space="preserve">    where TGT.{{ keys[0] }} is null</t>
  </si>
  <si>
    <t xml:space="preserve">        or (</t>
  </si>
  <si>
    <t xml:space="preserve">            (</t>
  </si>
  <si>
    <t xml:space="preserve">                SRC.SRC_ROW_NUM &gt;= 2</t>
  </si>
  <si>
    <t xml:space="preserve">                or {{ conditions }}</t>
  </si>
  <si>
    <t xml:space="preserve">            )</t>
  </si>
  <si>
    <t xml:space="preserve">            and SRC.ETL_ROW_EFF_DTS &gt; TGT.ETL_ROW_EFF_DTS</t>
  </si>
  <si>
    <t xml:space="preserve">        )</t>
  </si>
  <si>
    <t>src_inc as (</t>
  </si>
  <si>
    <t xml:space="preserve">    select *</t>
  </si>
  <si>
    <t xml:space="preserve">    from src_tgt_res</t>
  </si>
  <si>
    <t xml:space="preserve">    union</t>
  </si>
  <si>
    <t xml:space="preserve">    select distinct</t>
  </si>
  <si>
    <t xml:space="preserve">        {{ m_qualified_cols('TGT', keys) }},</t>
  </si>
  <si>
    <t xml:space="preserve">        {{ m_qualified_cols('TGT', scd2_cols) }},</t>
  </si>
  <si>
    <t xml:space="preserve">        TGT.ETL_ROW_EFF_DTS,</t>
  </si>
  <si>
    <t xml:space="preserve">        'C' as SRC_TGT_RETAIN_FL,</t>
  </si>
  <si>
    <t xml:space="preserve">        0 as SRC_TGT_ROW_NUM,</t>
  </si>
  <si>
    <t xml:space="preserve">        {{ m_qualified_cols('TGT', scd1_cols) }}</t>
  </si>
  <si>
    <t xml:space="preserve">    from src_tgt_res SRC</t>
  </si>
  <si>
    <t xml:space="preserve">    inner join {{ this }} TGT</t>
  </si>
  <si>
    <t xml:space="preserve">        and SRC.ETL_ROW_EFF_DTS &gt; TGT.ETL_ROW_EFF_DTS</t>
  </si>
  <si>
    <t>)</t>
  </si>
  <si>
    <t>from src_inc</t>
  </si>
  <si>
    <t>{% macro m_update_scd1_post() -%}</t>
  </si>
  <si>
    <t xml:space="preserve">    {%- set meta_cfg = model.config.meta.get('update_scd1cols_on_scd2', {}) -%}</t>
  </si>
  <si>
    <t xml:space="preserve">    {%- set key_cols = meta_cfg.get('key_cols', []) -%}</t>
  </si>
  <si>
    <t xml:space="preserve">    {%- set scd1_cols = meta_cfg.get('scd1_cols', []) -%}</t>
  </si>
  <si>
    <t xml:space="preserve">    {%- set src_intstg_table_nm = meta_cfg.get('src_intstg_table_nm') -%}</t>
  </si>
  <si>
    <t xml:space="preserve">    {%- if not src_intstg_table_nm or scd1_cols | length == 0 -%}</t>
  </si>
  <si>
    <t xml:space="preserve">        select 1</t>
  </si>
  <si>
    <t xml:space="preserve">        {%- set set_cols = [] -%}</t>
  </si>
  <si>
    <t xml:space="preserve">        {%- for col in scd1_cols -%}</t>
  </si>
  <si>
    <t xml:space="preserve">            {%- do set_cols.append(col ~ " = SRC." ~ col) -%}</t>
  </si>
  <si>
    <t xml:space="preserve">        {%- endfor -%}</t>
  </si>
  <si>
    <t xml:space="preserve">        {%- do set_cols.append("ETL_LAST_UPDATE_DTS = " ~ m_timestamp_ntz('current_timestamp')) -%}</t>
  </si>
  <si>
    <t xml:space="preserve">        {%- set join_conditions = [] -%}</t>
  </si>
  <si>
    <t xml:space="preserve">        {%- for key in key_cols -%}</t>
  </si>
  <si>
    <t xml:space="preserve">            {%- do join_conditions.append("TGT." ~ key ~ " = SRC." ~ key) -%}</t>
  </si>
  <si>
    <t xml:space="preserve">        {%- set scd1_conditions = [] -%}</t>
  </si>
  <si>
    <t xml:space="preserve">            {%- do scd1_conditions.append("(" ~ m_not_equal_null("TGT." ~ col, "SRC." ~ col) ~ ")") -%}</t>
  </si>
  <si>
    <t xml:space="preserve">        update {{ this }} TGT</t>
  </si>
  <si>
    <t xml:space="preserve">        set {{ set_cols | join(", ") }}</t>
  </si>
  <si>
    <t xml:space="preserve">        from (</t>
  </si>
  <si>
    <t xml:space="preserve">            select</t>
  </si>
  <si>
    <t xml:space="preserve">                {{ key_cols | join(", ") }},</t>
  </si>
  <si>
    <t xml:space="preserve">                {{ scd1_cols | join(", ") }}</t>
  </si>
  <si>
    <t xml:space="preserve">            from {{ ref(src_intstg_table_nm) }}</t>
  </si>
  <si>
    <t xml:space="preserve">            qualify row_number() over (</t>
  </si>
  <si>
    <t xml:space="preserve">                partition by {{ key_cols | join(", ") }}</t>
  </si>
  <si>
    <t xml:space="preserve">                order by ETL_ROW_EFF_DTS desc</t>
  </si>
  <si>
    <t xml:space="preserve">            ) = 1</t>
  </si>
  <si>
    <t xml:space="preserve">        ) SRC</t>
  </si>
  <si>
    <t xml:space="preserve">        where {{ join_conditions | join(" and ") }}</t>
  </si>
  <si>
    <t xml:space="preserve">            and ({{ scd1_conditions | join(" or ") }})</t>
  </si>
  <si>
    <r>
      <t xml:space="preserve">{% </t>
    </r>
    <r>
      <rPr>
        <sz val="7"/>
        <color rgb="FF001080"/>
        <rFont val="Consolas"/>
        <family val="3"/>
      </rPr>
      <t>macro</t>
    </r>
    <r>
      <rPr>
        <sz val="7"/>
        <color rgb="FF292929"/>
        <rFont val="Consolas"/>
        <family val="3"/>
      </rPr>
      <t xml:space="preserve"> </t>
    </r>
    <r>
      <rPr>
        <sz val="7"/>
        <color rgb="FF5E2CBC"/>
        <rFont val="Consolas"/>
        <family val="3"/>
      </rPr>
      <t>m_flatten_json_columns(</t>
    </r>
  </si>
  <si>
    <r>
      <t xml:space="preserve">        </t>
    </r>
    <r>
      <rPr>
        <sz val="7"/>
        <color rgb="FF001080"/>
        <rFont val="Consolas"/>
        <family val="3"/>
      </rPr>
      <t>table_name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</si>
  <si>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json_column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</si>
  <si>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cast_type</t>
    </r>
    <r>
      <rPr>
        <sz val="7"/>
        <color rgb="FF292929"/>
        <rFont val="Consolas"/>
        <family val="3"/>
      </rPr>
      <t>=</t>
    </r>
    <r>
      <rPr>
        <sz val="7"/>
        <color rgb="FF0F4A85"/>
        <rFont val="Consolas"/>
        <family val="3"/>
      </rPr>
      <t>'string'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</si>
  <si>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default_value</t>
    </r>
    <r>
      <rPr>
        <sz val="7"/>
        <color rgb="FF292929"/>
        <rFont val="Consolas"/>
        <family val="3"/>
      </rPr>
      <t>=</t>
    </r>
    <r>
      <rPr>
        <sz val="7"/>
        <color rgb="FF0F4A85"/>
        <rFont val="Consolas"/>
        <family val="3"/>
      </rPr>
      <t>''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</si>
  <si>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include_source_columns</t>
    </r>
    <r>
      <rPr>
        <sz val="7"/>
        <color rgb="FF292929"/>
        <rFont val="Consolas"/>
        <family val="3"/>
      </rPr>
      <t>=</t>
    </r>
    <r>
      <rPr>
        <sz val="7"/>
        <color rgb="FF001080"/>
        <rFont val="Consolas"/>
        <family val="3"/>
      </rPr>
      <t>true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</si>
  <si>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exclude_columns</t>
    </r>
    <r>
      <rPr>
        <sz val="7"/>
        <color rgb="FF292929"/>
        <rFont val="Consolas"/>
        <family val="3"/>
      </rPr>
      <t>=[],</t>
    </r>
  </si>
  <si>
    <r>
      <t xml:space="preserve">        </t>
    </r>
    <r>
      <rPr>
        <sz val="7"/>
        <color rgb="FF001080"/>
        <rFont val="Consolas"/>
        <family val="3"/>
      </rPr>
      <t>additional_keys</t>
    </r>
    <r>
      <rPr>
        <sz val="7"/>
        <color rgb="FF292929"/>
        <rFont val="Consolas"/>
        <family val="3"/>
      </rPr>
      <t>=[],</t>
    </r>
  </si>
  <si>
    <r>
      <t xml:space="preserve">        </t>
    </r>
    <r>
      <rPr>
        <sz val="7"/>
        <color rgb="FF001080"/>
        <rFont val="Consolas"/>
        <family val="3"/>
      </rPr>
      <t>key_defaults</t>
    </r>
    <r>
      <rPr>
        <sz val="7"/>
        <color rgb="FF292929"/>
        <rFont val="Consolas"/>
        <family val="3"/>
      </rPr>
      <t>={}</t>
    </r>
  </si>
  <si>
    <t>    ) %}</t>
  </si>
  <si>
    <r>
      <t xml:space="preserve">{%-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relation</t>
    </r>
    <r>
      <rPr>
        <sz val="7"/>
        <color rgb="FF292929"/>
        <rFont val="Consolas"/>
        <family val="3"/>
      </rPr>
      <t xml:space="preserve"> = </t>
    </r>
    <r>
      <rPr>
        <sz val="7"/>
        <color rgb="FF5E2CBC"/>
        <rFont val="Consolas"/>
        <family val="3"/>
      </rPr>
      <t>ref(</t>
    </r>
    <r>
      <rPr>
        <sz val="7"/>
        <color rgb="FF001080"/>
        <rFont val="Consolas"/>
        <family val="3"/>
      </rPr>
      <t>table_name</t>
    </r>
    <r>
      <rPr>
        <sz val="7"/>
        <color rgb="FF292929"/>
        <rFont val="Consolas"/>
        <family val="3"/>
      </rPr>
      <t>) -%}</t>
    </r>
  </si>
  <si>
    <r>
      <t xml:space="preserve">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json_keys_query</t>
    </r>
    <r>
      <rPr>
        <sz val="7"/>
        <color rgb="FF292929"/>
        <rFont val="Consolas"/>
        <family val="3"/>
      </rPr>
      <t xml:space="preserve"> %}</t>
    </r>
  </si>
  <si>
    <r>
      <t xml:space="preserve">    </t>
    </r>
    <r>
      <rPr>
        <sz val="7"/>
        <color rgb="FFB5200D"/>
        <rFont val="Consolas"/>
        <family val="3"/>
      </rPr>
      <t>select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distinct</t>
    </r>
  </si>
  <si>
    <r>
      <t xml:space="preserve">        </t>
    </r>
    <r>
      <rPr>
        <sz val="7"/>
        <color rgb="FF001080"/>
        <rFont val="Consolas"/>
        <family val="3"/>
      </rPr>
      <t>json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>::</t>
    </r>
    <r>
      <rPr>
        <sz val="7"/>
        <color rgb="FF001080"/>
        <rFont val="Consolas"/>
        <family val="3"/>
      </rPr>
      <t>string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as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column_name</t>
    </r>
  </si>
  <si>
    <r>
      <t xml:space="preserve">    </t>
    </r>
    <r>
      <rPr>
        <sz val="7"/>
        <color rgb="FFB5200D"/>
        <rFont val="Consolas"/>
        <family val="3"/>
      </rPr>
      <t>from</t>
    </r>
    <r>
      <rPr>
        <sz val="7"/>
        <color rgb="FF292929"/>
        <rFont val="Consolas"/>
        <family val="3"/>
      </rPr>
      <t xml:space="preserve"> {{ </t>
    </r>
    <r>
      <rPr>
        <sz val="7"/>
        <color rgb="FF001080"/>
        <rFont val="Consolas"/>
        <family val="3"/>
      </rPr>
      <t>relation</t>
    </r>
    <r>
      <rPr>
        <sz val="7"/>
        <color rgb="FF292929"/>
        <rFont val="Consolas"/>
        <family val="3"/>
      </rPr>
      <t xml:space="preserve"> }},</t>
    </r>
  </si>
  <si>
    <r>
      <t>         </t>
    </r>
    <r>
      <rPr>
        <sz val="7"/>
        <color rgb="FFB5200D"/>
        <rFont val="Consolas"/>
        <family val="3"/>
      </rPr>
      <t>lateral</t>
    </r>
    <r>
      <rPr>
        <sz val="7"/>
        <color rgb="FF292929"/>
        <rFont val="Consolas"/>
        <family val="3"/>
      </rPr>
      <t xml:space="preserve"> </t>
    </r>
    <r>
      <rPr>
        <sz val="7"/>
        <color rgb="FF5E2CBC"/>
        <rFont val="Consolas"/>
        <family val="3"/>
      </rPr>
      <t>flatten(</t>
    </r>
    <r>
      <rPr>
        <sz val="7"/>
        <color rgb="FF001080"/>
        <rFont val="Consolas"/>
        <family val="3"/>
      </rPr>
      <t>input</t>
    </r>
    <r>
      <rPr>
        <sz val="7"/>
        <color rgb="FF292929"/>
        <rFont val="Consolas"/>
        <family val="3"/>
      </rPr>
      <t xml:space="preserve"> =&gt; {{ </t>
    </r>
    <r>
      <rPr>
        <sz val="7"/>
        <color rgb="FF001080"/>
        <rFont val="Consolas"/>
        <family val="3"/>
      </rPr>
      <t>json_column</t>
    </r>
    <r>
      <rPr>
        <sz val="7"/>
        <color rgb="FF292929"/>
        <rFont val="Consolas"/>
        <family val="3"/>
      </rPr>
      <t xml:space="preserve"> }}) </t>
    </r>
    <r>
      <rPr>
        <sz val="7"/>
        <color rgb="FF001080"/>
        <rFont val="Consolas"/>
        <family val="3"/>
      </rPr>
      <t>json</t>
    </r>
  </si>
  <si>
    <r>
      <t xml:space="preserve">{% </t>
    </r>
    <r>
      <rPr>
        <sz val="7"/>
        <color rgb="FF001080"/>
        <rFont val="Consolas"/>
        <family val="3"/>
      </rPr>
      <t>endset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</si>
  <si>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json_results</t>
    </r>
    <r>
      <rPr>
        <sz val="7"/>
        <color rgb="FF292929"/>
        <rFont val="Consolas"/>
        <family val="3"/>
      </rPr>
      <t xml:space="preserve"> = </t>
    </r>
    <r>
      <rPr>
        <sz val="7"/>
        <color rgb="FF5E2CBC"/>
        <rFont val="Consolas"/>
        <family val="3"/>
      </rPr>
      <t>run_query(</t>
    </r>
    <r>
      <rPr>
        <sz val="7"/>
        <color rgb="FF001080"/>
        <rFont val="Consolas"/>
        <family val="3"/>
      </rPr>
      <t>json_keys_query</t>
    </r>
    <r>
      <rPr>
        <sz val="7"/>
        <color rgb="FF292929"/>
        <rFont val="Consolas"/>
        <family val="3"/>
      </rPr>
      <t>) %}</t>
    </r>
  </si>
  <si>
    <r>
      <t xml:space="preserve">{% </t>
    </r>
    <r>
      <rPr>
        <sz val="7"/>
        <color rgb="FFB5200D"/>
        <rFont val="Consolas"/>
        <family val="3"/>
      </rPr>
      <t>if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execute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and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json_results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is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not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none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</si>
  <si>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json_keys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json_results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columns</t>
    </r>
    <r>
      <rPr>
        <sz val="7"/>
        <color rgb="FF292929"/>
        <rFont val="Consolas"/>
        <family val="3"/>
      </rPr>
      <t>[</t>
    </r>
    <r>
      <rPr>
        <sz val="7"/>
        <color rgb="FF001080"/>
        <rFont val="Consolas"/>
        <family val="3"/>
      </rPr>
      <t>0</t>
    </r>
    <r>
      <rPr>
        <sz val="7"/>
        <color rgb="FF292929"/>
        <rFont val="Consolas"/>
        <family val="3"/>
      </rPr>
      <t>].</t>
    </r>
    <r>
      <rPr>
        <sz val="7"/>
        <color rgb="FF5E2CBC"/>
        <rFont val="Consolas"/>
        <family val="3"/>
      </rPr>
      <t>values(</t>
    </r>
    <r>
      <rPr>
        <sz val="7"/>
        <color rgb="FF292929"/>
        <rFont val="Consolas"/>
        <family val="3"/>
      </rPr>
      <t xml:space="preserve">) | </t>
    </r>
    <r>
      <rPr>
        <sz val="7"/>
        <color rgb="FFB5200D"/>
        <rFont val="Consolas"/>
        <family val="3"/>
      </rPr>
      <t>list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</si>
  <si>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B5200D"/>
        <rFont val="Consolas"/>
        <family val="3"/>
      </rPr>
      <t>else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</si>
  <si>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json_keys</t>
    </r>
    <r>
      <rPr>
        <sz val="7"/>
        <color rgb="FF292929"/>
        <rFont val="Consolas"/>
        <family val="3"/>
      </rPr>
      <t xml:space="preserve"> = [] %}</t>
    </r>
  </si>
  <si>
    <r>
      <t xml:space="preserve">{% </t>
    </r>
    <r>
      <rPr>
        <sz val="7"/>
        <color rgb="FF001080"/>
        <rFont val="Consolas"/>
        <family val="3"/>
      </rPr>
      <t>endif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</si>
  <si>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 xml:space="preserve"> = </t>
    </r>
    <r>
      <rPr>
        <sz val="7"/>
        <color rgb="FF5E2CBC"/>
        <rFont val="Consolas"/>
        <family val="3"/>
      </rPr>
      <t>namespace(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=[], </t>
    </r>
    <r>
      <rPr>
        <sz val="7"/>
        <color rgb="FF001080"/>
        <rFont val="Consolas"/>
        <family val="3"/>
      </rPr>
      <t>select_expressions</t>
    </r>
    <r>
      <rPr>
        <sz val="7"/>
        <color rgb="FF292929"/>
        <rFont val="Consolas"/>
        <family val="3"/>
      </rPr>
      <t>=[]) %}</t>
    </r>
  </si>
  <si>
    <r>
      <t xml:space="preserve">{# </t>
    </r>
    <r>
      <rPr>
        <sz val="7"/>
        <color rgb="FFB5200D"/>
        <rFont val="Consolas"/>
        <family val="3"/>
      </rPr>
      <t>Add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discovered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keys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first</t>
    </r>
    <r>
      <rPr>
        <sz val="7"/>
        <color rgb="FF292929"/>
        <rFont val="Consolas"/>
        <family val="3"/>
      </rPr>
      <t xml:space="preserve">, </t>
    </r>
    <r>
      <rPr>
        <sz val="7"/>
        <color rgb="FFB5200D"/>
        <rFont val="Consolas"/>
        <family val="3"/>
      </rPr>
      <t>then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metadata</t>
    </r>
    <r>
      <rPr>
        <sz val="7"/>
        <color rgb="FF292929"/>
        <rFont val="Consolas"/>
        <family val="3"/>
      </rPr>
      <t>-</t>
    </r>
    <r>
      <rPr>
        <sz val="7"/>
        <color rgb="FF001080"/>
        <rFont val="Consolas"/>
        <family val="3"/>
      </rPr>
      <t>driven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keys</t>
    </r>
    <r>
      <rPr>
        <sz val="7"/>
        <color rgb="FF292929"/>
        <rFont val="Consolas"/>
        <family val="3"/>
      </rPr>
      <t>. #}</t>
    </r>
  </si>
  <si>
    <r>
      <t xml:space="preserve">{% </t>
    </r>
    <r>
      <rPr>
        <sz val="7"/>
        <color rgb="FFB5200D"/>
        <rFont val="Consolas"/>
        <family val="3"/>
      </rPr>
      <t>for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json_keys</t>
    </r>
    <r>
      <rPr>
        <sz val="7"/>
        <color rgb="FF292929"/>
        <rFont val="Consolas"/>
        <family val="3"/>
      </rPr>
      <t xml:space="preserve"> + </t>
    </r>
    <r>
      <rPr>
        <sz val="7"/>
        <color rgb="FF001080"/>
        <rFont val="Consolas"/>
        <family val="3"/>
      </rPr>
      <t>additional_keys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</si>
  <si>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if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not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 %}</t>
    </r>
  </si>
  <si>
    <r>
      <t xml:space="preserve">    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 + [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>] %}</t>
    </r>
  </si>
  <si>
    <r>
      <t xml:space="preserve">    {% </t>
    </r>
    <r>
      <rPr>
        <sz val="7"/>
        <color rgb="FF001080"/>
        <rFont val="Consolas"/>
        <family val="3"/>
      </rPr>
      <t>endif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</si>
  <si>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001080"/>
        <rFont val="Consolas"/>
        <family val="3"/>
      </rPr>
      <t>endfor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</si>
  <si>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 | </t>
    </r>
    <r>
      <rPr>
        <sz val="7"/>
        <color rgb="FF001080"/>
        <rFont val="Consolas"/>
        <family val="3"/>
      </rPr>
      <t>sort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</si>
  <si>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B5200D"/>
        <rFont val="Consolas"/>
        <family val="3"/>
      </rPr>
      <t>if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include_source_columns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</si>
  <si>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relation_columns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adapter</t>
    </r>
    <r>
      <rPr>
        <sz val="7"/>
        <color rgb="FF292929"/>
        <rFont val="Consolas"/>
        <family val="3"/>
      </rPr>
      <t>.</t>
    </r>
    <r>
      <rPr>
        <sz val="7"/>
        <color rgb="FF5E2CBC"/>
        <rFont val="Consolas"/>
        <family val="3"/>
      </rPr>
      <t>get_columns_in_relation(</t>
    </r>
    <r>
      <rPr>
        <sz val="7"/>
        <color rgb="FF001080"/>
        <rFont val="Consolas"/>
        <family val="3"/>
      </rPr>
      <t>relation</t>
    </r>
    <r>
      <rPr>
        <sz val="7"/>
        <color rgb="FF292929"/>
        <rFont val="Consolas"/>
        <family val="3"/>
      </rPr>
      <t>)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</si>
  <si>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excluded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exclude_columns</t>
    </r>
    <r>
      <rPr>
        <sz val="7"/>
        <color rgb="FF292929"/>
        <rFont val="Consolas"/>
        <family val="3"/>
      </rPr>
      <t xml:space="preserve"> | </t>
    </r>
    <r>
      <rPr>
        <sz val="7"/>
        <color rgb="FF5E2CBC"/>
        <rFont val="Consolas"/>
        <family val="3"/>
      </rPr>
      <t>map(</t>
    </r>
    <r>
      <rPr>
        <sz val="7"/>
        <color rgb="FF0F4A85"/>
        <rFont val="Consolas"/>
        <family val="3"/>
      </rPr>
      <t>'upper'</t>
    </r>
    <r>
      <rPr>
        <sz val="7"/>
        <color rgb="FF292929"/>
        <rFont val="Consolas"/>
        <family val="3"/>
      </rPr>
      <t xml:space="preserve">) | </t>
    </r>
    <r>
      <rPr>
        <sz val="7"/>
        <color rgb="FFB5200D"/>
        <rFont val="Consolas"/>
        <family val="3"/>
      </rPr>
      <t>list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</si>
  <si>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for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col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relation_columns</t>
    </r>
    <r>
      <rPr>
        <sz val="7"/>
        <color rgb="FF292929"/>
        <rFont val="Consolas"/>
        <family val="3"/>
      </rPr>
      <t xml:space="preserve"> %}</t>
    </r>
  </si>
  <si>
    <r>
      <t xml:space="preserve">        {% </t>
    </r>
    <r>
      <rPr>
        <sz val="7"/>
        <color rgb="FFB5200D"/>
        <rFont val="Consolas"/>
        <family val="3"/>
      </rPr>
      <t>if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col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name</t>
    </r>
    <r>
      <rPr>
        <sz val="7"/>
        <color rgb="FF292929"/>
        <rFont val="Consolas"/>
        <family val="3"/>
      </rPr>
      <t xml:space="preserve"> | </t>
    </r>
    <r>
      <rPr>
        <sz val="7"/>
        <color rgb="FF001080"/>
        <rFont val="Consolas"/>
        <family val="3"/>
      </rPr>
      <t>upper</t>
    </r>
    <r>
      <rPr>
        <sz val="7"/>
        <color rgb="FF292929"/>
        <rFont val="Consolas"/>
        <family val="3"/>
      </rPr>
      <t xml:space="preserve"> != </t>
    </r>
    <r>
      <rPr>
        <sz val="7"/>
        <color rgb="FF001080"/>
        <rFont val="Consolas"/>
        <family val="3"/>
      </rPr>
      <t>json_column</t>
    </r>
    <r>
      <rPr>
        <sz val="7"/>
        <color rgb="FF292929"/>
        <rFont val="Consolas"/>
        <family val="3"/>
      </rPr>
      <t xml:space="preserve"> | </t>
    </r>
    <r>
      <rPr>
        <sz val="7"/>
        <color rgb="FF001080"/>
        <rFont val="Consolas"/>
        <family val="3"/>
      </rPr>
      <t>upper</t>
    </r>
  </si>
  <si>
    <r>
      <t xml:space="preserve">              </t>
    </r>
    <r>
      <rPr>
        <sz val="7"/>
        <color rgb="FFB5200D"/>
        <rFont val="Consolas"/>
        <family val="3"/>
      </rPr>
      <t>and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col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name</t>
    </r>
    <r>
      <rPr>
        <sz val="7"/>
        <color rgb="FF292929"/>
        <rFont val="Consolas"/>
        <family val="3"/>
      </rPr>
      <t xml:space="preserve"> | </t>
    </r>
    <r>
      <rPr>
        <sz val="7"/>
        <color rgb="FF001080"/>
        <rFont val="Consolas"/>
        <family val="3"/>
      </rPr>
      <t>upper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not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excluded</t>
    </r>
    <r>
      <rPr>
        <sz val="7"/>
        <color rgb="FF292929"/>
        <rFont val="Consolas"/>
        <family val="3"/>
      </rPr>
      <t xml:space="preserve"> %}</t>
    </r>
  </si>
  <si>
    <r>
      <t xml:space="preserve">        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select_expressions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select_expressions</t>
    </r>
    <r>
      <rPr>
        <sz val="7"/>
        <color rgb="FF292929"/>
        <rFont val="Consolas"/>
        <family val="3"/>
      </rPr>
      <t xml:space="preserve"> + [</t>
    </r>
    <r>
      <rPr>
        <sz val="7"/>
        <color rgb="FF001080"/>
        <rFont val="Consolas"/>
        <family val="3"/>
      </rPr>
      <t>col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name</t>
    </r>
    <r>
      <rPr>
        <sz val="7"/>
        <color rgb="FF292929"/>
        <rFont val="Consolas"/>
        <family val="3"/>
      </rPr>
      <t>] %}</t>
    </r>
  </si>
  <si>
    <r>
      <t xml:space="preserve">        {% </t>
    </r>
    <r>
      <rPr>
        <sz val="7"/>
        <color rgb="FF001080"/>
        <rFont val="Consolas"/>
        <family val="3"/>
      </rPr>
      <t>endif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</si>
  <si>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001080"/>
        <rFont val="Consolas"/>
        <family val="3"/>
      </rPr>
      <t>endfor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</si>
  <si>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B5200D"/>
        <rFont val="Consolas"/>
        <family val="3"/>
      </rPr>
      <t>for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all_keys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</si>
  <si>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if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 xml:space="preserve"> </t>
    </r>
    <r>
      <rPr>
        <sz val="7"/>
        <color rgb="FFB5200D"/>
        <rFont val="Consolas"/>
        <family val="3"/>
      </rPr>
      <t>in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key_defaults</t>
    </r>
    <r>
      <rPr>
        <sz val="7"/>
        <color rgb="FF292929"/>
        <rFont val="Consolas"/>
        <family val="3"/>
      </rPr>
      <t xml:space="preserve"> %}</t>
    </r>
  </si>
  <si>
    <r>
      <t xml:space="preserve">    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key_default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key_defaults</t>
    </r>
    <r>
      <rPr>
        <sz val="7"/>
        <color rgb="FF292929"/>
        <rFont val="Consolas"/>
        <family val="3"/>
      </rPr>
      <t>[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>] %}</t>
    </r>
  </si>
  <si>
    <r>
      <t xml:space="preserve">    {% </t>
    </r>
    <r>
      <rPr>
        <sz val="7"/>
        <color rgb="FFB5200D"/>
        <rFont val="Consolas"/>
        <family val="3"/>
      </rPr>
      <t>else</t>
    </r>
    <r>
      <rPr>
        <sz val="7"/>
        <color rgb="FF292929"/>
        <rFont val="Consolas"/>
        <family val="3"/>
      </rPr>
      <t xml:space="preserve"> %}</t>
    </r>
  </si>
  <si>
    <r>
      <t xml:space="preserve">    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key_default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default_value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</si>
  <si>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escaped_default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key_default</t>
    </r>
    <r>
      <rPr>
        <sz val="7"/>
        <color rgb="FF292929"/>
        <rFont val="Consolas"/>
        <family val="3"/>
      </rPr>
      <t xml:space="preserve"> | </t>
    </r>
    <r>
      <rPr>
        <sz val="7"/>
        <color rgb="FF001080"/>
        <rFont val="Consolas"/>
        <family val="3"/>
      </rPr>
      <t>string</t>
    </r>
    <r>
      <rPr>
        <sz val="7"/>
        <color rgb="FF292929"/>
        <rFont val="Consolas"/>
        <family val="3"/>
      </rPr>
      <t xml:space="preserve"> | </t>
    </r>
    <r>
      <rPr>
        <sz val="7"/>
        <color rgb="FF5E2CBC"/>
        <rFont val="Consolas"/>
        <family val="3"/>
      </rPr>
      <t>replace(</t>
    </r>
    <r>
      <rPr>
        <sz val="7"/>
        <color rgb="FF0F4A85"/>
        <rFont val="Consolas"/>
        <family val="3"/>
      </rPr>
      <t>"'"</t>
    </r>
    <r>
      <rPr>
        <sz val="7"/>
        <color rgb="FF292929"/>
        <rFont val="Consolas"/>
        <family val="3"/>
      </rPr>
      <t xml:space="preserve">, </t>
    </r>
    <r>
      <rPr>
        <sz val="7"/>
        <color rgb="FF0F4A85"/>
        <rFont val="Consolas"/>
        <family val="3"/>
      </rPr>
      <t>"''"</t>
    </r>
    <r>
      <rPr>
        <sz val="7"/>
        <color rgb="FF292929"/>
        <rFont val="Consolas"/>
        <family val="3"/>
      </rPr>
      <t>)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</si>
  <si>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expr</t>
    </r>
    <r>
      <rPr>
        <sz val="7"/>
        <color rgb="FF292929"/>
        <rFont val="Consolas"/>
        <family val="3"/>
      </rPr>
      <t xml:space="preserve"> %}</t>
    </r>
  </si>
  <si>
    <t>coalesce(</t>
  </si>
  <si>
    <r>
      <t xml:space="preserve">        {{ </t>
    </r>
    <r>
      <rPr>
        <sz val="7"/>
        <color rgb="FF001080"/>
        <rFont val="Consolas"/>
        <family val="3"/>
      </rPr>
      <t>json_column</t>
    </r>
    <r>
      <rPr>
        <sz val="7"/>
        <color rgb="FF292929"/>
        <rFont val="Consolas"/>
        <family val="3"/>
      </rPr>
      <t xml:space="preserve"> }}:</t>
    </r>
    <r>
      <rPr>
        <sz val="7"/>
        <color rgb="FF0F4A85"/>
        <rFont val="Consolas"/>
        <family val="3"/>
      </rPr>
      <t>"{{ key }}"</t>
    </r>
    <r>
      <rPr>
        <sz val="7"/>
        <color rgb="FF292929"/>
        <rFont val="Consolas"/>
        <family val="3"/>
      </rPr>
      <t xml:space="preserve">::{{ </t>
    </r>
    <r>
      <rPr>
        <sz val="7"/>
        <color rgb="FF001080"/>
        <rFont val="Consolas"/>
        <family val="3"/>
      </rPr>
      <t>cast_type</t>
    </r>
    <r>
      <rPr>
        <sz val="7"/>
        <color rgb="FF292929"/>
        <rFont val="Consolas"/>
        <family val="3"/>
      </rPr>
      <t xml:space="preserve"> }},</t>
    </r>
  </si>
  <si>
    <r>
      <t xml:space="preserve">        </t>
    </r>
    <r>
      <rPr>
        <sz val="7"/>
        <color rgb="FF0F4A85"/>
        <rFont val="Consolas"/>
        <family val="3"/>
      </rPr>
      <t>'{{ escaped_default }}'</t>
    </r>
  </si>
  <si>
    <r>
      <t xml:space="preserve">    ) </t>
    </r>
    <r>
      <rPr>
        <sz val="7"/>
        <color rgb="FFB5200D"/>
        <rFont val="Consolas"/>
        <family val="3"/>
      </rPr>
      <t>as</t>
    </r>
    <r>
      <rPr>
        <sz val="7"/>
        <color rgb="FF292929"/>
        <rFont val="Consolas"/>
        <family val="3"/>
      </rPr>
      <t xml:space="preserve"> {{ </t>
    </r>
    <r>
      <rPr>
        <sz val="7"/>
        <color rgb="FF001080"/>
        <rFont val="Consolas"/>
        <family val="3"/>
      </rPr>
      <t>key</t>
    </r>
    <r>
      <rPr>
        <sz val="7"/>
        <color rgb="FF292929"/>
        <rFont val="Consolas"/>
        <family val="3"/>
      </rPr>
      <t xml:space="preserve"> }}</t>
    </r>
  </si>
  <si>
    <r>
      <t xml:space="preserve">    {% </t>
    </r>
    <r>
      <rPr>
        <sz val="7"/>
        <color rgb="FF001080"/>
        <rFont val="Consolas"/>
        <family val="3"/>
      </rPr>
      <t>endset</t>
    </r>
    <r>
      <rPr>
        <sz val="7"/>
        <color rgb="FF292929"/>
        <rFont val="Consolas"/>
        <family val="3"/>
      </rPr>
      <t xml:space="preserve"> %}</t>
    </r>
  </si>
  <si>
    <r>
      <t xml:space="preserve">    {% </t>
    </r>
    <r>
      <rPr>
        <sz val="7"/>
        <color rgb="FFB5200D"/>
        <rFont val="Consolas"/>
        <family val="3"/>
      </rPr>
      <t>set</t>
    </r>
    <r>
      <rPr>
        <sz val="7"/>
        <color rgb="FF292929"/>
        <rFont val="Consolas"/>
        <family val="3"/>
      </rPr>
      <t xml:space="preserve">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select_expressions</t>
    </r>
    <r>
      <rPr>
        <sz val="7"/>
        <color rgb="FF292929"/>
        <rFont val="Consolas"/>
        <family val="3"/>
      </rPr>
      <t xml:space="preserve"> =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select_expressions</t>
    </r>
    <r>
      <rPr>
        <sz val="7"/>
        <color rgb="FF292929"/>
        <rFont val="Consolas"/>
        <family val="3"/>
      </rPr>
      <t xml:space="preserve"> + [</t>
    </r>
    <r>
      <rPr>
        <sz val="7"/>
        <color rgb="FF001080"/>
        <rFont val="Consolas"/>
        <family val="3"/>
      </rPr>
      <t>expr</t>
    </r>
    <r>
      <rPr>
        <sz val="7"/>
        <color rgb="FF292929"/>
        <rFont val="Consolas"/>
        <family val="3"/>
      </rPr>
      <t xml:space="preserve"> | </t>
    </r>
    <r>
      <rPr>
        <sz val="7"/>
        <color rgb="FF001080"/>
        <rFont val="Consolas"/>
        <family val="3"/>
      </rPr>
      <t>trim</t>
    </r>
    <r>
      <rPr>
        <sz val="7"/>
        <color rgb="FF292929"/>
        <rFont val="Consolas"/>
        <family val="3"/>
      </rPr>
      <t>] %}</t>
    </r>
  </si>
  <si>
    <r>
      <t xml:space="preserve">    {{ </t>
    </r>
    <r>
      <rPr>
        <sz val="7"/>
        <color rgb="FF001080"/>
        <rFont val="Consolas"/>
        <family val="3"/>
      </rPr>
      <t>ns</t>
    </r>
    <r>
      <rPr>
        <sz val="7"/>
        <color rgb="FF292929"/>
        <rFont val="Consolas"/>
        <family val="3"/>
      </rPr>
      <t>.</t>
    </r>
    <r>
      <rPr>
        <sz val="7"/>
        <color rgb="FF001080"/>
        <rFont val="Consolas"/>
        <family val="3"/>
      </rPr>
      <t>select_expressions</t>
    </r>
    <r>
      <rPr>
        <sz val="7"/>
        <color rgb="FF292929"/>
        <rFont val="Consolas"/>
        <family val="3"/>
      </rPr>
      <t xml:space="preserve"> | </t>
    </r>
    <r>
      <rPr>
        <sz val="7"/>
        <color rgb="FF5E2CBC"/>
        <rFont val="Consolas"/>
        <family val="3"/>
      </rPr>
      <t>join(</t>
    </r>
    <r>
      <rPr>
        <sz val="7"/>
        <color rgb="FF0F4A85"/>
        <rFont val="Consolas"/>
        <family val="3"/>
      </rPr>
      <t>',\n    '</t>
    </r>
    <r>
      <rPr>
        <sz val="7"/>
        <color rgb="FF292929"/>
        <rFont val="Consolas"/>
        <family val="3"/>
      </rPr>
      <t>) }}</t>
    </r>
  </si>
  <si>
    <r>
      <t>from</t>
    </r>
    <r>
      <rPr>
        <sz val="7"/>
        <color rgb="FF292929"/>
        <rFont val="Consolas"/>
        <family val="3"/>
      </rPr>
      <t xml:space="preserve"> {{ </t>
    </r>
    <r>
      <rPr>
        <sz val="7"/>
        <color rgb="FF001080"/>
        <rFont val="Consolas"/>
        <family val="3"/>
      </rPr>
      <t>relation</t>
    </r>
    <r>
      <rPr>
        <sz val="7"/>
        <color rgb="FF292929"/>
        <rFont val="Consolas"/>
        <family val="3"/>
      </rPr>
      <t xml:space="preserve"> }}</t>
    </r>
  </si>
  <si>
    <r>
      <t xml:space="preserve">{% </t>
    </r>
    <r>
      <rPr>
        <sz val="7"/>
        <color rgb="FF001080"/>
        <rFont val="Consolas"/>
        <family val="3"/>
      </rPr>
      <t>endmacro</t>
    </r>
    <r>
      <rPr>
        <sz val="7"/>
        <color rgb="FF292929"/>
        <rFont val="Consolas"/>
        <family val="3"/>
      </rPr>
      <t xml:space="preserve"> %}</t>
    </r>
  </si>
  <si>
    <r>
      <t xml:space="preserve">{% </t>
    </r>
    <r>
      <rPr>
        <sz val="7"/>
        <color rgb="FF001080"/>
        <rFont val="Consolas"/>
        <family val="3"/>
      </rPr>
      <t>macro</t>
    </r>
    <r>
      <rPr>
        <sz val="7"/>
        <color rgb="FF292929"/>
        <rFont val="Consolas"/>
        <family val="3"/>
      </rPr>
      <t xml:space="preserve"> </t>
    </r>
    <r>
      <rPr>
        <sz val="7"/>
        <color rgb="FF5E2CBC"/>
        <rFont val="Consolas"/>
        <family val="3"/>
      </rPr>
      <t>flatten_json_column(</t>
    </r>
  </si>
  <si>
    <r>
      <t xml:space="preserve">    {{ </t>
    </r>
    <r>
      <rPr>
        <sz val="7"/>
        <color rgb="FF5E2CBC"/>
        <rFont val="Consolas"/>
        <family val="3"/>
      </rPr>
      <t>m_flatten_json_columns(</t>
    </r>
  </si>
  <si>
    <r>
      <t xml:space="preserve">        </t>
    </r>
    <r>
      <rPr>
        <sz val="7"/>
        <color rgb="FF001080"/>
        <rFont val="Consolas"/>
        <family val="3"/>
      </rPr>
      <t>cast_type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</si>
  <si>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default_value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</si>
  <si>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include_source_columns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</si>
  <si>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exclude_columns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</si>
  <si>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additional_keys</t>
    </r>
    <r>
      <rPr>
        <sz val="7"/>
        <color rgb="FF292929"/>
        <rFont val="Consolas"/>
        <family val="3"/>
      </rPr>
      <t>,</t>
    </r>
  </si>
  <si>
    <r>
      <t xml:space="preserve">        </t>
    </r>
    <r>
      <rPr>
        <sz val="7"/>
        <color rgb="FF001080"/>
        <rFont val="Consolas"/>
        <family val="3"/>
      </rPr>
      <t>key_defaults</t>
    </r>
  </si>
  <si>
    <t>    ) }}</t>
  </si>
  <si>
    <t>,src.BUILDINGITV_EXT as BL_BUILDING_ITV</t>
  </si>
  <si>
    <t>,src.BUILDINGTOTALRCV_EXT as BL_BUILDING_TOTAL_RCV</t>
  </si>
  <si>
    <t>src.CEBUILDINGTOTALRCV_EXT as BL_CE_BUILDING_TOTAL_RCV</t>
  </si>
  <si>
    <t>,src.BCEGErrorMessage_Ext as BL_BCEG_ERR_MSG_EXT</t>
  </si>
  <si>
    <t>,BCEGStat_Ext.TYPECODE as BL_BCEG_STAT_EXT_CD</t>
  </si>
  <si>
    <t>,CESubstructureType.TYPECODE as BL_CE_SUBSTRUCTURE_TYPE_CD</t>
  </si>
  <si>
    <t>,src.OccupancyCode_Ext as BL_OCCPNCY_CD_EXT</t>
  </si>
  <si>
    <t>,PreferredSettlementCurrency.TYPECODE as BL_PREFD_STTLMNT_CURR_CD</t>
  </si>
  <si>
    <t>,src.SprinklerMaterialType_Ext as BL_SPRINKLER_MATERIAL_TYPE_EXT</t>
  </si>
  <si>
    <t>,src.SprinklerPercentage_Ext as BL_SPRINKLER_PCT_EXT</t>
  </si>
  <si>
    <t>,src.SubstructureArea_Ext as BL_SUBSTRUCTURE_AREA_EXT</t>
  </si>
  <si>
    <t>,case when src. UpdateBCEG_Ext = '1' then 'Y' when src. UpdateBCEG_Ext = '0' then 'N' else NULL end as BL_UPDATE_BCEG_EXT_FL</t>
  </si>
  <si>
    <t>,case when src. UpdateITV_Ext = '1' then 'Y' when src. UpdateITV_Ext = '0' then 'N' else NULL end as BL_UPDATE_ITV_EXT_FL</t>
  </si>
  <si>
    <t>,case when src. UserUpdatedCoverageCurrency = 'l' then 'Y' when src. UserUpdatedCoverageCurrency = '0' then 'N' else NULL end as BL_USER_UPDATED_COVG_CURR_FL</t>
  </si>
  <si>
    <t>,case when src. UserUpdatedSettlementCurrency = 'l' then 'Y' when src. UserUpdatedSettlementCurrency = '0' then 'N' else NULL end as BL_USER_UPDATED_STTLMNT_CURR_FL</t>
  </si>
  <si>
    <t>,src.bp7vacantsquarefeet as BL_VACANT_SQUARE_FEET_EXT</t>
  </si>
  <si>
    <t>,src.BP7ROOFAGE as BL_ROOF_AGE</t>
  </si>
  <si>
    <t>,src.BP7BUILDINGCODE as BL_BUILDING_CODE</t>
  </si>
  <si>
    <t>,src.BP7ROOFDECK as BL_ROOF_DECK</t>
  </si>
  <si>
    <t>,src.BP7STRUCTURETYPE as BL_STRUCTURE_TYPE</t>
  </si>
  <si>
    <t>,src.BP7MINESUBSIDENCEAPPLIES as BL_MINE_SUB_SIDENCE_APPLIES</t>
  </si>
  <si>
    <t>,src.BP7ROOFWALLCONNECTION as BL_ROOF_WALL_CONNECTION</t>
  </si>
  <si>
    <t>,src.BP7ROOFMATERIAL as BL_WIND_STORM_INCLUDED</t>
  </si>
  <si>
    <t>,src.BP7WINDSTORMINCLUDED as BL_WIND_STORM_INCLUDED</t>
  </si>
  <si>
    <t>,src.BP7WATERRESISTANCE as BL_WATER_RESISTANCE</t>
  </si>
  <si>
    <t>,src.BP7ROOFSHAPE as BL_ROOF_SHAPE</t>
  </si>
  <si>
    <t>,src.BP7DOORSTRENGTH as BL_DOOR_STRENGTH</t>
  </si>
  <si>
    <t>,src.BP7LEVEL as BL_LEVEL</t>
  </si>
  <si>
    <t>,src.BP7ROOFDECKBUILDINGTYPEII as BL_ROOF_DECK_BUILDING_TYPEII</t>
  </si>
  <si>
    <t>,src.BP7AREA as BL_AREA</t>
  </si>
  <si>
    <t>,src.BP7CONSTRUCTED as BL_CONSTRUCTED</t>
  </si>
  <si>
    <t>,src.BP7ROOFCOVER as BL_ROOF_COVER</t>
  </si>
  <si>
    <t>,src.BP7BUILDINGOCCUPANCYTYPE as BL_BUILDING_OCCUPANCY_TYPE</t>
  </si>
  <si>
    <t>,src.BP7MINESUBSIDENCEINSUREDPROPER as BL_MINE_SUB_SIDENCE_INSURED_PROPER</t>
  </si>
  <si>
    <t>,src.BP7OCCUPANCYCLASS as BL_OCCUPANCY_CLASS</t>
  </si>
  <si>
    <t>,src.BP7MINESUBSIDENCEWAIVED as BL_MINE_SUB_SIDENCE_WAIVED</t>
  </si>
  <si>
    <t>,src.BP7SUBDECKING as BL_SUB_DECKING</t>
  </si>
  <si>
    <t>,src.BP7BUILDINGGROUP as BL_BUILDING_GROUP</t>
  </si>
  <si>
    <t>,src.BP7AGREEDVALUEOFBUILDING as BL_AGREED_VALUE_OF_BUILDING</t>
  </si>
  <si>
    <t>,src.BP7OPENINGPROTECTION as BL_COMMERCIAL_CONDOMINIUM</t>
  </si>
  <si>
    <t>,src.BP7COMMERCIALCONDOMINIUM as BL_OPENING_PROTECTION</t>
  </si>
  <si>
    <t>,src.BP7IBHSCERTIFICATETYPE2 as BL_IBHS_CERTIFICATE_TYPE 2</t>
  </si>
  <si>
    <t>,src.BCEGCode_Ext as BL_BCEG_CD_EXT</t>
  </si>
  <si>
    <t>,src. FreightElevatorMatType_Ext as BL_FREIGHT_ELEVATOR_MAT_TYPE_EXT</t>
  </si>
  <si>
    <t>,src. FreightElevators_Ext as BL_FREIGHT_ELEVATORS_EXT</t>
  </si>
  <si>
    <t>,src.OccupancyDescription_Ext as BL_OCCPNCY_TEXT_EXT</t>
  </si>
  <si>
    <t>,case when src.OverrideOccCode_Ext = '1' then 'Y' when src.OverrideOccCode_Ext = '0' then 'N' else NULL end as BL_OVRD_OCC_CD_EXT_FL</t>
  </si>
  <si>
    <t>,src. PassElevatorMatType_Ext as BL_PASS_ELEVATOR_MAT_TYPE_EXT</t>
  </si>
  <si>
    <t>,src. PassengerElevators_Ext as BL_ PSNGR_ELEVATORS_EXT</t>
  </si>
  <si>
    <t>Roof Deck And Roof Deck Attachment</t>
  </si>
  <si>
    <t>Risk Eligible For Windstorm Mitigation Credit</t>
  </si>
  <si>
    <t>Secondary Water Resistance</t>
  </si>
  <si>
    <t>Premises Constructed in or After 1978</t>
  </si>
  <si>
    <t>Roof Covering And Roof Covering Attachment</t>
  </si>
  <si>
    <t>Did insured waive in writing that they do not want coverage for Mine Subsidence</t>
  </si>
  <si>
    <t>Does Building Have Sub-decking</t>
  </si>
  <si>
    <t>The risk is a Commercial Condominium Association</t>
  </si>
  <si>
    <t>BL_OPENING_PROTECTION</t>
  </si>
  <si>
    <t>BL BCEG CD EXT</t>
  </si>
  <si>
    <t>BL_FREIGHT_ELEVATORS_EXT</t>
  </si>
  <si>
    <t>varchar (1)</t>
  </si>
  <si>
    <t>Srno</t>
  </si>
  <si>
    <t>Rule</t>
  </si>
  <si>
    <t>ltrim blank, if null then ' '</t>
  </si>
  <si>
    <t>is null then 0</t>
  </si>
  <si>
    <t>is null then 'U'</t>
  </si>
  <si>
    <t>General primary Key Rule 1</t>
  </si>
  <si>
    <t>ltrim blank, if null then '?'</t>
  </si>
  <si>
    <t>is null, then 'NOKEY'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</si>
</sst>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292929"/>
      <name val="Consolas"/>
      <family val="3"/>
    </font>
    <font>
      <sz val="7"/>
      <color rgb="FF001080"/>
      <name val="Consolas"/>
      <family val="3"/>
    </font>
    <font>
      <sz val="7"/>
      <color rgb="FF5E2CBC"/>
      <name val="Consolas"/>
      <family val="3"/>
    </font>
    <font>
      <sz val="7"/>
      <color rgb="FF0F4A85"/>
      <name val="Consolas"/>
      <family val="3"/>
    </font>
    <font>
      <sz val="7"/>
      <color rgb="FFB5200D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 vertical="top"/>
    </xf>
    <xf numFmtId="0" fontId="0" fillId="2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/>
    <xf numFmtId="0" fontId="0" fillId="7" borderId="0" xfId="0" applyFill="1"/>
    <xf numFmtId="0" fontId="0" fillId="7" borderId="2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quotePrefix="1" applyAlignment="1">
      <alignment wrapText="1"/>
    </xf>
    <xf numFmtId="0" fontId="0" fillId="4" borderId="0" xfId="0" applyFill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5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wrapText="1"/>
    </xf>
    <xf numFmtId="0" fontId="1" fillId="3" borderId="1" xfId="0" applyFont="1" applyFill="1" applyBorder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1" fillId="8" borderId="1" xfId="0" applyFont="1" applyFill="1" applyBorder="1"/>
    <xf numFmtId="0" fontId="1" fillId="8" borderId="7" xfId="0" applyFont="1" applyFill="1" applyBorder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1" xfId="0" applyFont="1" applyFill="1" applyBorder="1"/>
    <xf numFmtId="0" fontId="1" fillId="8" borderId="8" xfId="0" applyFont="1" applyFill="1" applyBorder="1"/>
    <xf numFmtId="0" fontId="1" fillId="3" borderId="0" xfId="0" applyFont="1" applyFill="1"/>
    <xf numFmtId="0" fontId="0" fillId="9" borderId="1" xfId="0" applyFill="1" applyBorder="1"/>
    <xf numFmtId="0" fontId="4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wrapText="1"/>
    </xf>
    <xf numFmtId="0" fontId="1" fillId="11" borderId="0" xfId="0" applyFont="1" applyFill="1"/>
    <xf numFmtId="0" fontId="1" fillId="11" borderId="0" xfId="0" applyFont="1" applyFill="1" applyAlignment="1">
      <alignment wrapText="1"/>
    </xf>
    <xf numFmtId="0" fontId="1" fillId="11" borderId="1" xfId="0" applyFont="1" applyFill="1" applyBorder="1"/>
    <xf numFmtId="0" fontId="1" fillId="11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216381</xdr:colOff>
      <xdr:row>18</xdr:row>
      <xdr:rowOff>76374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643A5-F581-2DC2-AFC9-16A8B9C6F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60381" cy="3391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15</xdr:col>
      <xdr:colOff>83024</xdr:colOff>
      <xdr:row>44</xdr:row>
      <xdr:rowOff>6577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6CAEB6-2D4F-8D1C-E742-AE20F631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83000"/>
          <a:ext cx="9227024" cy="4426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527050</xdr:colOff>
      <xdr:row>19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A3921-707F-4DD0-6B7D-0AC926E8F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42250" cy="359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7"/>
  <sheetViews>
    <sheetView topLeftCell="C4" zoomScale="70" zoomScaleNormal="70" workbookViewId="0">
      <selection sqref="A1:CD2"/>
    </sheetView>
  </sheetViews>
  <sheetFormatPr defaultRowHeight="14.4" x14ac:dyDescent="0.3"/>
  <cols>
    <col min="1" max="1" width="15.21875" customWidth="1"/>
    <col min="2" max="2" width="6.21875" customWidth="1"/>
    <col min="3" max="3" width="37.44140625" customWidth="1"/>
    <col min="4" max="4" width="12.77734375" customWidth="1"/>
    <col min="6" max="6" width="13" customWidth="1"/>
    <col min="7" max="7" width="20.33203125" customWidth="1"/>
    <col min="9" max="9" width="96.33203125" customWidth="1"/>
    <col min="10" max="10" width="72.109375" style="18" customWidth="1"/>
    <col min="11" max="11" width="23.21875" customWidth="1"/>
    <col min="12" max="12" width="16.77734375" customWidth="1"/>
    <col min="13" max="13" width="31.109375" customWidth="1"/>
    <col min="14" max="14" width="30" customWidth="1"/>
    <col min="15" max="15" width="39.21875" customWidth="1"/>
    <col min="16" max="16" width="27.77734375" customWidth="1"/>
    <col min="17" max="17" width="27.109375" customWidth="1"/>
  </cols>
  <sheetData>
    <row r="1" spans="1:86" x14ac:dyDescent="0.3">
      <c r="A1" s="63" t="s">
        <v>2</v>
      </c>
      <c r="B1" s="63"/>
      <c r="C1" s="63"/>
      <c r="D1" s="63"/>
      <c r="E1" s="1"/>
      <c r="F1" s="1"/>
      <c r="G1" s="1"/>
      <c r="H1" s="1"/>
      <c r="I1" s="1"/>
      <c r="J1" s="2"/>
      <c r="K1" s="63" t="s">
        <v>12</v>
      </c>
      <c r="L1" s="63"/>
      <c r="M1" s="3" t="s">
        <v>14</v>
      </c>
      <c r="N1" s="64" t="s">
        <v>15</v>
      </c>
      <c r="O1" s="64"/>
      <c r="P1" s="64"/>
      <c r="Q1" s="64"/>
      <c r="R1" s="64"/>
    </row>
    <row r="2" spans="1:86" x14ac:dyDescent="0.3">
      <c r="A2" s="4" t="s">
        <v>0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128</v>
      </c>
      <c r="G2" s="5" t="s">
        <v>7</v>
      </c>
      <c r="H2" s="5" t="s">
        <v>5</v>
      </c>
      <c r="I2" s="5" t="s">
        <v>8</v>
      </c>
      <c r="J2" s="6" t="s">
        <v>9</v>
      </c>
      <c r="K2" s="7" t="s">
        <v>10</v>
      </c>
      <c r="L2" s="7" t="s">
        <v>11</v>
      </c>
      <c r="M2" s="3" t="s">
        <v>13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</row>
    <row r="3" spans="1:86" x14ac:dyDescent="0.3">
      <c r="A3" s="1" t="s">
        <v>1</v>
      </c>
      <c r="B3" s="9">
        <v>1</v>
      </c>
      <c r="C3" s="10" t="s">
        <v>21</v>
      </c>
      <c r="D3" s="1" t="s">
        <v>47</v>
      </c>
      <c r="E3" s="11" t="s">
        <v>48</v>
      </c>
      <c r="F3" s="1"/>
      <c r="G3" s="1" t="s">
        <v>129</v>
      </c>
      <c r="H3" s="1"/>
      <c r="I3" s="12" t="s">
        <v>51</v>
      </c>
      <c r="J3" s="65" t="s">
        <v>74</v>
      </c>
      <c r="K3" s="1"/>
      <c r="L3" s="1"/>
      <c r="M3" s="1" t="s">
        <v>75</v>
      </c>
      <c r="N3" s="1" t="s">
        <v>84</v>
      </c>
      <c r="O3" s="1" t="s">
        <v>21</v>
      </c>
      <c r="P3" s="1" t="s">
        <v>95</v>
      </c>
      <c r="Q3" s="1" t="s">
        <v>99</v>
      </c>
      <c r="R3" s="1"/>
    </row>
    <row r="4" spans="1:86" x14ac:dyDescent="0.3">
      <c r="A4" s="1" t="s">
        <v>1</v>
      </c>
      <c r="B4" s="9">
        <v>2</v>
      </c>
      <c r="C4" s="10" t="s">
        <v>22</v>
      </c>
      <c r="D4" s="1" t="s">
        <v>47</v>
      </c>
      <c r="E4" s="11">
        <v>1</v>
      </c>
      <c r="F4" s="1"/>
      <c r="G4" s="1" t="s">
        <v>129</v>
      </c>
      <c r="H4" s="1"/>
      <c r="I4" s="1" t="s">
        <v>55</v>
      </c>
      <c r="J4" s="66"/>
      <c r="K4" s="1"/>
      <c r="L4" s="1"/>
      <c r="M4" s="1" t="s">
        <v>76</v>
      </c>
      <c r="N4" s="1" t="s">
        <v>85</v>
      </c>
      <c r="O4" s="1" t="s">
        <v>93</v>
      </c>
      <c r="P4" s="1" t="s">
        <v>96</v>
      </c>
      <c r="Q4" s="1" t="s">
        <v>99</v>
      </c>
      <c r="R4" s="1"/>
    </row>
    <row r="5" spans="1:86" x14ac:dyDescent="0.3">
      <c r="A5" s="1" t="s">
        <v>1</v>
      </c>
      <c r="B5" s="9">
        <v>3</v>
      </c>
      <c r="C5" s="10" t="s">
        <v>23</v>
      </c>
      <c r="D5" s="1" t="s">
        <v>47</v>
      </c>
      <c r="E5" s="11">
        <v>1</v>
      </c>
      <c r="F5" s="1"/>
      <c r="G5" s="1" t="s">
        <v>129</v>
      </c>
      <c r="H5" s="1"/>
      <c r="I5" s="1" t="s">
        <v>56</v>
      </c>
      <c r="J5" s="66"/>
      <c r="K5" s="1"/>
      <c r="L5" s="1"/>
      <c r="M5" s="1" t="s">
        <v>76</v>
      </c>
      <c r="N5" s="1" t="s">
        <v>86</v>
      </c>
      <c r="O5" s="1" t="s">
        <v>23</v>
      </c>
      <c r="P5" s="1" t="s">
        <v>96</v>
      </c>
      <c r="Q5" s="1" t="s">
        <v>99</v>
      </c>
      <c r="R5" s="1"/>
    </row>
    <row r="6" spans="1:86" x14ac:dyDescent="0.3">
      <c r="A6" s="1" t="s">
        <v>1</v>
      </c>
      <c r="B6" s="9">
        <v>4</v>
      </c>
      <c r="C6" s="10" t="s">
        <v>24</v>
      </c>
      <c r="D6" s="1" t="s">
        <v>47</v>
      </c>
      <c r="E6" s="11">
        <v>1</v>
      </c>
      <c r="F6" s="1"/>
      <c r="G6" s="1" t="s">
        <v>129</v>
      </c>
      <c r="H6" s="1"/>
      <c r="I6" s="1" t="s">
        <v>52</v>
      </c>
      <c r="J6" s="66"/>
      <c r="K6" s="1"/>
      <c r="L6" s="1"/>
      <c r="M6" s="1" t="s">
        <v>76</v>
      </c>
      <c r="N6" s="1" t="s">
        <v>87</v>
      </c>
      <c r="O6" s="1" t="s">
        <v>94</v>
      </c>
      <c r="P6" s="1" t="s">
        <v>96</v>
      </c>
      <c r="Q6" s="1" t="s">
        <v>99</v>
      </c>
      <c r="R6" s="1"/>
    </row>
    <row r="7" spans="1:86" x14ac:dyDescent="0.3">
      <c r="A7" s="1" t="s">
        <v>1</v>
      </c>
      <c r="B7" s="9">
        <v>5</v>
      </c>
      <c r="C7" s="10" t="s">
        <v>25</v>
      </c>
      <c r="D7" s="1" t="s">
        <v>49</v>
      </c>
      <c r="E7" s="11">
        <v>2</v>
      </c>
      <c r="F7" s="1"/>
      <c r="G7" s="1" t="s">
        <v>129</v>
      </c>
      <c r="H7" s="1"/>
      <c r="I7" s="1" t="s">
        <v>53</v>
      </c>
      <c r="J7" s="66"/>
      <c r="K7" s="1"/>
      <c r="L7" s="1"/>
      <c r="M7" s="1" t="s">
        <v>77</v>
      </c>
      <c r="N7" s="1" t="s">
        <v>88</v>
      </c>
      <c r="O7" s="1" t="s">
        <v>25</v>
      </c>
      <c r="P7" s="1" t="s">
        <v>97</v>
      </c>
      <c r="Q7" s="1" t="s">
        <v>100</v>
      </c>
      <c r="R7" s="1"/>
    </row>
    <row r="8" spans="1:86" x14ac:dyDescent="0.3">
      <c r="A8" s="1" t="s">
        <v>1</v>
      </c>
      <c r="B8" s="9">
        <v>6</v>
      </c>
      <c r="C8" s="10" t="s">
        <v>26</v>
      </c>
      <c r="D8" s="1" t="s">
        <v>49</v>
      </c>
      <c r="E8" s="11">
        <v>2</v>
      </c>
      <c r="F8" s="1"/>
      <c r="G8" s="1" t="s">
        <v>129</v>
      </c>
      <c r="H8" s="1"/>
      <c r="I8" s="1" t="s">
        <v>54</v>
      </c>
      <c r="J8" s="66"/>
      <c r="K8" s="1"/>
      <c r="L8" s="1"/>
      <c r="M8" s="1" t="s">
        <v>78</v>
      </c>
      <c r="N8" s="1" t="s">
        <v>89</v>
      </c>
      <c r="O8" s="1" t="s">
        <v>26</v>
      </c>
      <c r="P8" s="1" t="s">
        <v>97</v>
      </c>
      <c r="Q8" s="1" t="s">
        <v>100</v>
      </c>
      <c r="R8" s="1"/>
    </row>
    <row r="9" spans="1:86" x14ac:dyDescent="0.3">
      <c r="A9" s="1" t="s">
        <v>1</v>
      </c>
      <c r="B9" s="9">
        <v>7</v>
      </c>
      <c r="C9" s="10" t="s">
        <v>27</v>
      </c>
      <c r="D9" s="1" t="s">
        <v>50</v>
      </c>
      <c r="E9" s="11" t="s">
        <v>48</v>
      </c>
      <c r="F9" s="1"/>
      <c r="G9" s="1" t="s">
        <v>129</v>
      </c>
      <c r="H9" s="1"/>
      <c r="I9" s="1" t="s">
        <v>57</v>
      </c>
      <c r="J9" s="66"/>
      <c r="K9" s="1"/>
      <c r="L9" s="1"/>
      <c r="M9" s="1" t="s">
        <v>79</v>
      </c>
      <c r="N9" s="1" t="s">
        <v>90</v>
      </c>
      <c r="O9" s="1" t="s">
        <v>27</v>
      </c>
      <c r="P9" s="1" t="s">
        <v>27</v>
      </c>
      <c r="Q9" s="1" t="s">
        <v>101</v>
      </c>
      <c r="R9" s="1"/>
    </row>
    <row r="10" spans="1:86" x14ac:dyDescent="0.3">
      <c r="A10" s="1" t="s">
        <v>1</v>
      </c>
      <c r="B10" s="9">
        <v>8</v>
      </c>
      <c r="C10" s="10" t="s">
        <v>28</v>
      </c>
      <c r="D10" s="1" t="s">
        <v>45</v>
      </c>
      <c r="E10" s="11">
        <v>2</v>
      </c>
      <c r="F10" s="1"/>
      <c r="G10" s="1" t="s">
        <v>129</v>
      </c>
      <c r="H10" s="1"/>
      <c r="I10" s="1" t="s">
        <v>58</v>
      </c>
      <c r="J10" s="66"/>
      <c r="K10" s="1"/>
      <c r="L10" s="1"/>
      <c r="M10" s="1" t="s">
        <v>80</v>
      </c>
      <c r="N10" s="1" t="s">
        <v>91</v>
      </c>
      <c r="O10" s="1" t="s">
        <v>28</v>
      </c>
      <c r="P10" s="1" t="s">
        <v>98</v>
      </c>
      <c r="Q10" s="1" t="s">
        <v>102</v>
      </c>
      <c r="R10" s="1"/>
    </row>
    <row r="11" spans="1:86" x14ac:dyDescent="0.3">
      <c r="A11" s="1" t="s">
        <v>1</v>
      </c>
      <c r="B11" s="9">
        <v>9</v>
      </c>
      <c r="C11" s="10" t="s">
        <v>29</v>
      </c>
      <c r="D11" s="1" t="s">
        <v>45</v>
      </c>
      <c r="E11" s="11">
        <v>2</v>
      </c>
      <c r="F11" s="1"/>
      <c r="G11" s="1" t="s">
        <v>129</v>
      </c>
      <c r="H11" s="1"/>
      <c r="I11" s="1" t="s">
        <v>59</v>
      </c>
      <c r="J11" s="66"/>
      <c r="K11" s="1"/>
      <c r="L11" s="1"/>
      <c r="M11" s="1" t="s">
        <v>80</v>
      </c>
      <c r="N11" s="1" t="s">
        <v>92</v>
      </c>
      <c r="O11" s="1" t="s">
        <v>29</v>
      </c>
      <c r="P11" s="1" t="s">
        <v>98</v>
      </c>
      <c r="Q11" s="1" t="s">
        <v>102</v>
      </c>
      <c r="R11" s="1"/>
    </row>
    <row r="12" spans="1:86" s="16" customFormat="1" x14ac:dyDescent="0.3">
      <c r="A12" s="13" t="s">
        <v>1</v>
      </c>
      <c r="B12" s="14">
        <v>10</v>
      </c>
      <c r="C12" s="15" t="s">
        <v>30</v>
      </c>
      <c r="D12" s="13"/>
      <c r="E12" s="13"/>
      <c r="F12" s="13"/>
      <c r="G12" s="13"/>
      <c r="H12" s="13"/>
      <c r="I12" s="13"/>
      <c r="J12" s="66"/>
      <c r="K12" s="13"/>
      <c r="L12" s="13"/>
      <c r="O12" s="17"/>
      <c r="R12" s="13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x14ac:dyDescent="0.3">
      <c r="A13" s="1"/>
      <c r="B13" s="1"/>
      <c r="C13" s="10" t="s">
        <v>31</v>
      </c>
      <c r="D13" s="1" t="s">
        <v>45</v>
      </c>
      <c r="E13" s="9">
        <v>2</v>
      </c>
      <c r="F13" s="1"/>
      <c r="G13" s="1" t="s">
        <v>129</v>
      </c>
      <c r="H13" s="1"/>
      <c r="I13" s="1" t="s">
        <v>60</v>
      </c>
      <c r="J13" s="66"/>
      <c r="K13" s="1"/>
      <c r="L13" s="1"/>
      <c r="M13" s="1" t="s">
        <v>80</v>
      </c>
      <c r="N13" s="1" t="s">
        <v>103</v>
      </c>
      <c r="O13" s="1" t="s">
        <v>31</v>
      </c>
      <c r="P13" s="1" t="s">
        <v>98</v>
      </c>
      <c r="Q13" s="1" t="s">
        <v>102</v>
      </c>
      <c r="R13" s="1"/>
    </row>
    <row r="14" spans="1:86" x14ac:dyDescent="0.3">
      <c r="A14" s="1"/>
      <c r="B14" s="1"/>
      <c r="C14" s="10" t="s">
        <v>32</v>
      </c>
      <c r="D14" s="1" t="s">
        <v>45</v>
      </c>
      <c r="E14" s="9">
        <v>2</v>
      </c>
      <c r="F14" s="1"/>
      <c r="G14" s="1" t="s">
        <v>129</v>
      </c>
      <c r="H14" s="1"/>
      <c r="I14" s="1" t="s">
        <v>61</v>
      </c>
      <c r="J14" s="66"/>
      <c r="K14" s="1"/>
      <c r="L14" s="1"/>
      <c r="M14" s="1" t="s">
        <v>80</v>
      </c>
      <c r="N14" s="1" t="s">
        <v>104</v>
      </c>
      <c r="O14" s="1" t="s">
        <v>32</v>
      </c>
      <c r="P14" s="1" t="s">
        <v>98</v>
      </c>
      <c r="Q14" s="1" t="s">
        <v>102</v>
      </c>
      <c r="R14" s="1"/>
    </row>
    <row r="15" spans="1:86" x14ac:dyDescent="0.3">
      <c r="A15" s="1"/>
      <c r="B15" s="1"/>
      <c r="C15" s="10" t="s">
        <v>33</v>
      </c>
      <c r="D15" s="1" t="s">
        <v>45</v>
      </c>
      <c r="E15" s="9">
        <v>2</v>
      </c>
      <c r="F15" s="1"/>
      <c r="G15" s="1" t="s">
        <v>129</v>
      </c>
      <c r="H15" s="1"/>
      <c r="I15" s="1" t="s">
        <v>62</v>
      </c>
      <c r="J15" s="66"/>
      <c r="K15" s="1"/>
      <c r="L15" s="1"/>
      <c r="M15" s="1" t="s">
        <v>80</v>
      </c>
      <c r="N15" s="1" t="s">
        <v>105</v>
      </c>
      <c r="O15" s="1" t="s">
        <v>117</v>
      </c>
      <c r="P15" s="1" t="s">
        <v>98</v>
      </c>
      <c r="Q15" s="1" t="s">
        <v>102</v>
      </c>
      <c r="R15" s="1"/>
    </row>
    <row r="16" spans="1:86" x14ac:dyDescent="0.3">
      <c r="A16" s="1"/>
      <c r="B16" s="1"/>
      <c r="C16" s="10" t="s">
        <v>34</v>
      </c>
      <c r="D16" s="1" t="s">
        <v>45</v>
      </c>
      <c r="E16" s="9">
        <v>2</v>
      </c>
      <c r="F16" s="1"/>
      <c r="G16" s="1" t="s">
        <v>129</v>
      </c>
      <c r="H16" s="1"/>
      <c r="I16" s="1" t="s">
        <v>63</v>
      </c>
      <c r="J16" s="66"/>
      <c r="K16" s="1"/>
      <c r="L16" s="1"/>
      <c r="M16" s="1" t="s">
        <v>80</v>
      </c>
      <c r="N16" s="1" t="s">
        <v>106</v>
      </c>
      <c r="O16" s="1" t="s">
        <v>34</v>
      </c>
      <c r="P16" s="1" t="s">
        <v>98</v>
      </c>
      <c r="Q16" s="1" t="s">
        <v>102</v>
      </c>
      <c r="R16" s="1"/>
    </row>
    <row r="17" spans="1:18" x14ac:dyDescent="0.3">
      <c r="A17" s="1"/>
      <c r="B17" s="1"/>
      <c r="C17" s="10" t="s">
        <v>35</v>
      </c>
      <c r="D17" s="1" t="s">
        <v>45</v>
      </c>
      <c r="E17" s="9">
        <v>2</v>
      </c>
      <c r="F17" s="1"/>
      <c r="G17" s="1" t="s">
        <v>129</v>
      </c>
      <c r="H17" s="1"/>
      <c r="I17" s="1" t="s">
        <v>64</v>
      </c>
      <c r="J17" s="66"/>
      <c r="K17" s="1"/>
      <c r="L17" s="1"/>
      <c r="M17" s="1" t="s">
        <v>80</v>
      </c>
      <c r="N17" s="1" t="s">
        <v>107</v>
      </c>
      <c r="O17" s="1" t="s">
        <v>35</v>
      </c>
      <c r="P17" s="1" t="s">
        <v>98</v>
      </c>
      <c r="Q17" s="1" t="s">
        <v>102</v>
      </c>
      <c r="R17" s="1"/>
    </row>
    <row r="18" spans="1:18" x14ac:dyDescent="0.3">
      <c r="A18" s="1"/>
      <c r="B18" s="1"/>
      <c r="C18" s="10" t="s">
        <v>36</v>
      </c>
      <c r="D18" s="1" t="s">
        <v>125</v>
      </c>
      <c r="E18" s="9">
        <v>2</v>
      </c>
      <c r="F18" s="1"/>
      <c r="G18" s="1" t="s">
        <v>129</v>
      </c>
      <c r="H18" s="1"/>
      <c r="I18" s="1" t="s">
        <v>68</v>
      </c>
      <c r="J18" s="66"/>
      <c r="K18" s="1"/>
      <c r="L18" s="1"/>
      <c r="M18" s="1" t="s">
        <v>81</v>
      </c>
      <c r="N18" s="1" t="s">
        <v>108</v>
      </c>
      <c r="O18" s="1" t="s">
        <v>36</v>
      </c>
      <c r="P18" s="1" t="s">
        <v>119</v>
      </c>
      <c r="Q18" s="1" t="s">
        <v>122</v>
      </c>
      <c r="R18" s="1"/>
    </row>
    <row r="19" spans="1:18" x14ac:dyDescent="0.3">
      <c r="A19" s="1"/>
      <c r="B19" s="1"/>
      <c r="C19" s="10" t="s">
        <v>37</v>
      </c>
      <c r="D19" s="1" t="s">
        <v>45</v>
      </c>
      <c r="E19" s="9">
        <v>2</v>
      </c>
      <c r="F19" s="1"/>
      <c r="G19" s="1" t="s">
        <v>129</v>
      </c>
      <c r="H19" s="1"/>
      <c r="I19" s="1" t="s">
        <v>65</v>
      </c>
      <c r="J19" s="66"/>
      <c r="K19" s="1"/>
      <c r="L19" s="1"/>
      <c r="M19" s="1" t="s">
        <v>80</v>
      </c>
      <c r="N19" s="1" t="s">
        <v>109</v>
      </c>
      <c r="O19" s="1" t="s">
        <v>37</v>
      </c>
      <c r="P19" s="1" t="s">
        <v>98</v>
      </c>
      <c r="Q19" s="1" t="s">
        <v>102</v>
      </c>
      <c r="R19" s="1"/>
    </row>
    <row r="20" spans="1:18" x14ac:dyDescent="0.3">
      <c r="A20" s="1"/>
      <c r="B20" s="1"/>
      <c r="C20" s="10" t="s">
        <v>38</v>
      </c>
      <c r="D20" s="1" t="s">
        <v>45</v>
      </c>
      <c r="E20" s="9">
        <v>2</v>
      </c>
      <c r="F20" s="1"/>
      <c r="G20" s="1" t="s">
        <v>129</v>
      </c>
      <c r="H20" s="1"/>
      <c r="I20" s="1" t="s">
        <v>59</v>
      </c>
      <c r="J20" s="66"/>
      <c r="K20" s="1"/>
      <c r="L20" s="1"/>
      <c r="M20" s="1" t="s">
        <v>80</v>
      </c>
      <c r="N20" s="1" t="s">
        <v>92</v>
      </c>
      <c r="O20" s="1" t="s">
        <v>38</v>
      </c>
      <c r="P20" s="1" t="s">
        <v>98</v>
      </c>
      <c r="Q20" s="1" t="s">
        <v>102</v>
      </c>
      <c r="R20" s="1"/>
    </row>
    <row r="21" spans="1:18" x14ac:dyDescent="0.3">
      <c r="A21" s="1"/>
      <c r="B21" s="1"/>
      <c r="C21" s="10" t="s">
        <v>39</v>
      </c>
      <c r="D21" s="1" t="s">
        <v>45</v>
      </c>
      <c r="E21" s="9">
        <v>2</v>
      </c>
      <c r="F21" s="1"/>
      <c r="G21" s="1" t="s">
        <v>129</v>
      </c>
      <c r="H21" s="1"/>
      <c r="I21" s="1" t="s">
        <v>66</v>
      </c>
      <c r="J21" s="66"/>
      <c r="K21" s="1"/>
      <c r="L21" s="1"/>
      <c r="M21" s="1" t="s">
        <v>80</v>
      </c>
      <c r="N21" s="1" t="s">
        <v>110</v>
      </c>
      <c r="O21" s="1" t="s">
        <v>39</v>
      </c>
      <c r="P21" s="1" t="s">
        <v>98</v>
      </c>
      <c r="Q21" s="1" t="s">
        <v>102</v>
      </c>
      <c r="R21" s="1"/>
    </row>
    <row r="22" spans="1:18" x14ac:dyDescent="0.3">
      <c r="A22" s="1"/>
      <c r="B22" s="1"/>
      <c r="C22" s="10" t="s">
        <v>40</v>
      </c>
      <c r="D22" s="1" t="s">
        <v>126</v>
      </c>
      <c r="E22" s="9">
        <v>2</v>
      </c>
      <c r="F22" s="1"/>
      <c r="G22" s="1" t="s">
        <v>129</v>
      </c>
      <c r="H22" s="1"/>
      <c r="I22" s="1" t="s">
        <v>67</v>
      </c>
      <c r="J22" s="66"/>
      <c r="K22" s="1"/>
      <c r="L22" s="1"/>
      <c r="M22" s="1" t="s">
        <v>82</v>
      </c>
      <c r="N22" s="1" t="s">
        <v>111</v>
      </c>
      <c r="O22" s="1" t="s">
        <v>40</v>
      </c>
      <c r="P22" s="1" t="s">
        <v>120</v>
      </c>
      <c r="Q22" s="1" t="s">
        <v>123</v>
      </c>
      <c r="R22" s="1"/>
    </row>
    <row r="23" spans="1:18" x14ac:dyDescent="0.3">
      <c r="A23" s="1"/>
      <c r="B23" s="1"/>
      <c r="C23" s="10" t="s">
        <v>41</v>
      </c>
      <c r="D23" s="1" t="s">
        <v>45</v>
      </c>
      <c r="E23" s="9">
        <v>2</v>
      </c>
      <c r="F23" s="1"/>
      <c r="G23" s="1" t="s">
        <v>129</v>
      </c>
      <c r="H23" s="1"/>
      <c r="I23" s="1" t="s">
        <v>69</v>
      </c>
      <c r="J23" s="66"/>
      <c r="K23" s="1"/>
      <c r="L23" s="1"/>
      <c r="M23" s="1" t="s">
        <v>80</v>
      </c>
      <c r="N23" s="1" t="s">
        <v>112</v>
      </c>
      <c r="O23" s="1" t="s">
        <v>118</v>
      </c>
      <c r="P23" s="1" t="s">
        <v>98</v>
      </c>
      <c r="Q23" s="1" t="s">
        <v>102</v>
      </c>
      <c r="R23" s="1"/>
    </row>
    <row r="24" spans="1:18" x14ac:dyDescent="0.3">
      <c r="A24" s="1"/>
      <c r="B24" s="1"/>
      <c r="C24" s="10" t="s">
        <v>42</v>
      </c>
      <c r="D24" s="1" t="s">
        <v>45</v>
      </c>
      <c r="E24" s="9">
        <v>2</v>
      </c>
      <c r="F24" s="1"/>
      <c r="G24" s="1" t="s">
        <v>129</v>
      </c>
      <c r="H24" s="1"/>
      <c r="I24" s="1" t="s">
        <v>70</v>
      </c>
      <c r="J24" s="66"/>
      <c r="K24" s="1"/>
      <c r="L24" s="1"/>
      <c r="M24" s="1" t="s">
        <v>80</v>
      </c>
      <c r="N24" s="1" t="s">
        <v>113</v>
      </c>
      <c r="O24" s="1" t="s">
        <v>42</v>
      </c>
      <c r="P24" s="1" t="s">
        <v>98</v>
      </c>
      <c r="Q24" s="1" t="s">
        <v>102</v>
      </c>
      <c r="R24" s="1"/>
    </row>
    <row r="25" spans="1:18" x14ac:dyDescent="0.3">
      <c r="A25" s="1"/>
      <c r="B25" s="1"/>
      <c r="C25" s="10" t="s">
        <v>43</v>
      </c>
      <c r="D25" s="1" t="s">
        <v>125</v>
      </c>
      <c r="E25" s="9">
        <v>2</v>
      </c>
      <c r="F25" s="1"/>
      <c r="G25" s="1" t="s">
        <v>129</v>
      </c>
      <c r="H25" s="1"/>
      <c r="I25" s="1" t="s">
        <v>71</v>
      </c>
      <c r="J25" s="66"/>
      <c r="K25" s="1"/>
      <c r="L25" s="1"/>
      <c r="M25" s="1" t="s">
        <v>81</v>
      </c>
      <c r="N25" s="1" t="s">
        <v>114</v>
      </c>
      <c r="O25" s="1" t="s">
        <v>43</v>
      </c>
      <c r="P25" s="1" t="s">
        <v>119</v>
      </c>
      <c r="Q25" s="1" t="s">
        <v>122</v>
      </c>
      <c r="R25" s="1"/>
    </row>
    <row r="26" spans="1:18" x14ac:dyDescent="0.3">
      <c r="A26" s="1"/>
      <c r="B26" s="1"/>
      <c r="C26" s="10" t="s">
        <v>44</v>
      </c>
      <c r="D26" s="1" t="s">
        <v>127</v>
      </c>
      <c r="E26" s="9">
        <v>2</v>
      </c>
      <c r="F26" s="1"/>
      <c r="G26" s="1" t="s">
        <v>129</v>
      </c>
      <c r="H26" s="1"/>
      <c r="I26" s="1" t="s">
        <v>72</v>
      </c>
      <c r="J26" s="66"/>
      <c r="K26" s="1"/>
      <c r="L26" s="1"/>
      <c r="M26" s="1" t="s">
        <v>83</v>
      </c>
      <c r="N26" s="1" t="s">
        <v>115</v>
      </c>
      <c r="O26" s="1" t="s">
        <v>44</v>
      </c>
      <c r="P26" s="1" t="s">
        <v>121</v>
      </c>
      <c r="Q26" s="1" t="s">
        <v>124</v>
      </c>
      <c r="R26" s="1"/>
    </row>
    <row r="27" spans="1:18" x14ac:dyDescent="0.3">
      <c r="A27" s="1"/>
      <c r="B27" s="1"/>
      <c r="C27" s="10" t="s">
        <v>46</v>
      </c>
      <c r="D27" s="1" t="s">
        <v>127</v>
      </c>
      <c r="E27" s="9">
        <v>2</v>
      </c>
      <c r="F27" s="1"/>
      <c r="G27" s="1" t="s">
        <v>129</v>
      </c>
      <c r="H27" s="1"/>
      <c r="I27" s="1" t="s">
        <v>73</v>
      </c>
      <c r="J27" s="66"/>
      <c r="K27" s="1"/>
      <c r="L27" s="1"/>
      <c r="M27" s="1" t="s">
        <v>83</v>
      </c>
      <c r="N27" s="1" t="s">
        <v>116</v>
      </c>
      <c r="O27" s="1" t="s">
        <v>46</v>
      </c>
      <c r="P27" s="1" t="s">
        <v>121</v>
      </c>
      <c r="Q27" s="1" t="s">
        <v>124</v>
      </c>
      <c r="R27" s="1"/>
    </row>
  </sheetData>
  <mergeCells count="4">
    <mergeCell ref="A1:D1"/>
    <mergeCell ref="K1:L1"/>
    <mergeCell ref="N1:R1"/>
    <mergeCell ref="J3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4883-0864-492E-AEBE-7F88CB37223C}">
  <dimension ref="A1:C7"/>
  <sheetViews>
    <sheetView tabSelected="1" workbookViewId="0">
      <selection activeCell="B2" sqref="B2:B6"/>
    </sheetView>
  </sheetViews>
  <sheetFormatPr defaultRowHeight="14.4" x14ac:dyDescent="0.3"/>
  <cols>
    <col min="2" max="2" width="25.44140625" bestFit="1" customWidth="1"/>
    <col min="3" max="3" width="21.5546875" bestFit="1" customWidth="1"/>
  </cols>
  <sheetData>
    <row r="1" spans="1:3" x14ac:dyDescent="0.3">
      <c r="A1" t="s">
        <v>1064</v>
      </c>
      <c r="B1" t="s">
        <v>16</v>
      </c>
      <c r="C1" t="s">
        <v>1065</v>
      </c>
    </row>
    <row r="2" spans="1:3" x14ac:dyDescent="0.3">
      <c r="A2">
        <v>1</v>
      </c>
      <c r="B2" t="s">
        <v>80</v>
      </c>
      <c r="C2" t="s">
        <v>1066</v>
      </c>
    </row>
    <row r="3" spans="1:3" x14ac:dyDescent="0.3">
      <c r="A3">
        <v>2</v>
      </c>
      <c r="B3" t="s">
        <v>81</v>
      </c>
      <c r="C3" t="s">
        <v>1067</v>
      </c>
    </row>
    <row r="4" spans="1:3" x14ac:dyDescent="0.3">
      <c r="A4">
        <v>3</v>
      </c>
      <c r="B4" t="s">
        <v>83</v>
      </c>
      <c r="C4" t="s">
        <v>1068</v>
      </c>
    </row>
    <row r="5" spans="1:3" x14ac:dyDescent="0.3">
      <c r="A5">
        <v>4</v>
      </c>
      <c r="B5" t="s">
        <v>1069</v>
      </c>
      <c r="C5" t="s">
        <v>1070</v>
      </c>
    </row>
    <row r="6" spans="1:3" x14ac:dyDescent="0.3">
      <c r="A6">
        <v>5</v>
      </c>
      <c r="B6" t="s">
        <v>76</v>
      </c>
      <c r="C6" t="s">
        <v>1071</v>
      </c>
    </row>
    <row r="7" spans="1:3" x14ac:dyDescent="0.3">
      <c r="A7">
        <v>6</v>
      </c>
      <c r="B7" t="s">
        <v>79</v>
      </c>
      <c r="C7" t="s">
        <v>1070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8194-53CF-4052-9817-A3BD224A0B28}">
  <dimension ref="A1:R29"/>
  <sheetViews>
    <sheetView topLeftCell="C9" zoomScale="80" zoomScaleNormal="80" workbookViewId="0">
      <selection activeCell="I29" sqref="I29"/>
    </sheetView>
  </sheetViews>
  <sheetFormatPr defaultRowHeight="14.4" x14ac:dyDescent="0.3"/>
  <cols>
    <col min="1" max="1" width="14.5546875" customWidth="1"/>
    <col min="3" max="3" width="39.109375" style="19" customWidth="1"/>
    <col min="4" max="4" width="30.44140625" customWidth="1"/>
    <col min="7" max="7" width="18.6640625" customWidth="1"/>
    <col min="8" max="8" width="13.33203125" customWidth="1"/>
    <col min="9" max="9" width="56.21875" customWidth="1"/>
    <col min="10" max="10" width="64.33203125" customWidth="1"/>
    <col min="11" max="11" width="17.109375" customWidth="1"/>
    <col min="12" max="12" width="16.21875" customWidth="1"/>
    <col min="13" max="13" width="27.77734375" customWidth="1"/>
    <col min="14" max="14" width="28.5546875" customWidth="1"/>
    <col min="15" max="15" width="34.77734375" customWidth="1"/>
    <col min="16" max="16" width="18.77734375" customWidth="1"/>
    <col min="17" max="17" width="26" customWidth="1"/>
  </cols>
  <sheetData>
    <row r="1" spans="1:18" x14ac:dyDescent="0.3">
      <c r="A1" s="63" t="s">
        <v>2</v>
      </c>
      <c r="B1" s="63"/>
      <c r="C1" s="63"/>
      <c r="D1" s="63"/>
      <c r="E1" s="1"/>
      <c r="F1" s="1"/>
      <c r="G1" s="1"/>
      <c r="H1" s="1"/>
      <c r="I1" s="1"/>
      <c r="J1" s="2"/>
      <c r="K1" s="63" t="s">
        <v>12</v>
      </c>
      <c r="L1" s="63"/>
      <c r="M1" s="3" t="s">
        <v>14</v>
      </c>
      <c r="N1" s="64" t="s">
        <v>15</v>
      </c>
      <c r="O1" s="64"/>
      <c r="P1" s="64"/>
      <c r="Q1" s="64"/>
      <c r="R1" s="64"/>
    </row>
    <row r="2" spans="1:18" x14ac:dyDescent="0.3">
      <c r="A2" s="4" t="s">
        <v>0</v>
      </c>
      <c r="B2" s="4" t="s">
        <v>3</v>
      </c>
      <c r="C2" s="21" t="s">
        <v>4</v>
      </c>
      <c r="D2" s="4" t="s">
        <v>5</v>
      </c>
      <c r="E2" s="4" t="s">
        <v>6</v>
      </c>
      <c r="F2" s="4" t="s">
        <v>128</v>
      </c>
      <c r="G2" s="5" t="s">
        <v>7</v>
      </c>
      <c r="H2" s="5" t="s">
        <v>5</v>
      </c>
      <c r="I2" s="5" t="s">
        <v>8</v>
      </c>
      <c r="J2" s="6" t="s">
        <v>9</v>
      </c>
      <c r="K2" s="7" t="s">
        <v>10</v>
      </c>
      <c r="L2" s="7" t="s">
        <v>11</v>
      </c>
      <c r="M2" s="3" t="s">
        <v>13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</row>
    <row r="3" spans="1:18" x14ac:dyDescent="0.3">
      <c r="A3" t="s">
        <v>1</v>
      </c>
      <c r="B3" s="25">
        <v>1</v>
      </c>
      <c r="C3" s="19" t="str">
        <f>O3</f>
        <v>BP_CVRBL_KEY (PK)</v>
      </c>
      <c r="D3" t="s">
        <v>47</v>
      </c>
      <c r="E3" t="s">
        <v>175</v>
      </c>
      <c r="G3" t="s">
        <v>176</v>
      </c>
      <c r="I3" t="s">
        <v>177</v>
      </c>
      <c r="J3" s="67" t="s">
        <v>174</v>
      </c>
      <c r="M3" t="s">
        <v>75</v>
      </c>
      <c r="N3" t="s">
        <v>84</v>
      </c>
      <c r="O3" t="s">
        <v>21</v>
      </c>
      <c r="P3" t="s">
        <v>96</v>
      </c>
      <c r="Q3" t="s">
        <v>99</v>
      </c>
    </row>
    <row r="4" spans="1:18" x14ac:dyDescent="0.3">
      <c r="A4" t="s">
        <v>1</v>
      </c>
      <c r="B4" s="25">
        <v>2</v>
      </c>
      <c r="C4" s="19" t="str">
        <f t="shared" ref="C4:C29" si="0">O4</f>
        <v>POL_KEY (FK)</v>
      </c>
      <c r="D4" t="s">
        <v>47</v>
      </c>
      <c r="E4">
        <v>1</v>
      </c>
      <c r="G4" t="s">
        <v>176</v>
      </c>
      <c r="I4" t="s">
        <v>193</v>
      </c>
      <c r="J4" s="68"/>
      <c r="M4" t="s">
        <v>76</v>
      </c>
      <c r="N4" t="s">
        <v>85</v>
      </c>
      <c r="O4" t="s">
        <v>22</v>
      </c>
      <c r="P4" t="s">
        <v>96</v>
      </c>
      <c r="Q4" t="s">
        <v>99</v>
      </c>
    </row>
    <row r="5" spans="1:18" x14ac:dyDescent="0.3">
      <c r="A5" t="s">
        <v>1</v>
      </c>
      <c r="B5" s="25">
        <v>3</v>
      </c>
      <c r="C5" s="19" t="str">
        <f t="shared" si="0"/>
        <v>POL_LINE_KEY (FK)</v>
      </c>
      <c r="D5" t="s">
        <v>47</v>
      </c>
      <c r="E5">
        <v>1</v>
      </c>
      <c r="G5" t="s">
        <v>176</v>
      </c>
      <c r="I5" t="s">
        <v>178</v>
      </c>
      <c r="J5" s="68"/>
      <c r="M5" t="s">
        <v>76</v>
      </c>
      <c r="N5" t="s">
        <v>86</v>
      </c>
      <c r="O5" t="s">
        <v>23</v>
      </c>
      <c r="P5" t="s">
        <v>96</v>
      </c>
      <c r="Q5" t="s">
        <v>99</v>
      </c>
    </row>
    <row r="6" spans="1:18" x14ac:dyDescent="0.3">
      <c r="A6" t="s">
        <v>1</v>
      </c>
      <c r="B6" s="25">
        <v>4</v>
      </c>
      <c r="C6" s="19" t="str">
        <f t="shared" si="0"/>
        <v>CVRBL_TYPE_KEY (FK)</v>
      </c>
      <c r="D6" t="s">
        <v>47</v>
      </c>
      <c r="E6">
        <v>1</v>
      </c>
      <c r="G6" t="s">
        <v>176</v>
      </c>
      <c r="I6" t="s">
        <v>179</v>
      </c>
      <c r="J6" s="68"/>
      <c r="M6" t="s">
        <v>76</v>
      </c>
      <c r="N6" t="s">
        <v>87</v>
      </c>
      <c r="O6" t="s">
        <v>94</v>
      </c>
      <c r="P6" t="s">
        <v>96</v>
      </c>
      <c r="Q6" t="s">
        <v>99</v>
      </c>
    </row>
    <row r="7" spans="1:18" x14ac:dyDescent="0.3">
      <c r="A7" t="s">
        <v>1</v>
      </c>
      <c r="B7" s="25">
        <v>5</v>
      </c>
      <c r="C7" s="19" t="str">
        <f t="shared" si="0"/>
        <v>END_EFF_DT (PK)</v>
      </c>
      <c r="D7" t="s">
        <v>49</v>
      </c>
      <c r="E7">
        <v>2</v>
      </c>
      <c r="G7" t="s">
        <v>176</v>
      </c>
      <c r="I7" t="s">
        <v>180</v>
      </c>
      <c r="J7" s="68"/>
      <c r="M7" t="s">
        <v>77</v>
      </c>
      <c r="N7" t="s">
        <v>130</v>
      </c>
      <c r="O7" t="s">
        <v>147</v>
      </c>
      <c r="P7" t="s">
        <v>97</v>
      </c>
      <c r="Q7" t="s">
        <v>100</v>
      </c>
    </row>
    <row r="8" spans="1:18" x14ac:dyDescent="0.3">
      <c r="A8" t="s">
        <v>1</v>
      </c>
      <c r="B8" s="25">
        <v>6</v>
      </c>
      <c r="C8" s="19" t="str">
        <f t="shared" si="0"/>
        <v>END_EXP_DT</v>
      </c>
      <c r="D8" t="s">
        <v>49</v>
      </c>
      <c r="E8">
        <v>2</v>
      </c>
      <c r="G8" t="s">
        <v>176</v>
      </c>
      <c r="I8" t="s">
        <v>168</v>
      </c>
      <c r="J8" s="68"/>
      <c r="M8" t="s">
        <v>78</v>
      </c>
      <c r="N8" t="s">
        <v>131</v>
      </c>
      <c r="O8" t="s">
        <v>26</v>
      </c>
      <c r="P8" t="s">
        <v>97</v>
      </c>
      <c r="Q8" t="s">
        <v>100</v>
      </c>
    </row>
    <row r="9" spans="1:18" ht="28.8" x14ac:dyDescent="0.3">
      <c r="A9" t="s">
        <v>1</v>
      </c>
      <c r="B9" s="25">
        <v>7</v>
      </c>
      <c r="C9" s="19" t="str">
        <f t="shared" si="0"/>
        <v>SOURCE_SYSTEM</v>
      </c>
      <c r="D9" t="s">
        <v>50</v>
      </c>
      <c r="E9" t="s">
        <v>175</v>
      </c>
      <c r="G9" t="s">
        <v>176</v>
      </c>
      <c r="I9" s="22" t="s">
        <v>181</v>
      </c>
      <c r="J9" s="68"/>
      <c r="M9" t="s">
        <v>166</v>
      </c>
      <c r="N9" t="s">
        <v>90</v>
      </c>
      <c r="O9" t="s">
        <v>27</v>
      </c>
      <c r="P9" t="s">
        <v>27</v>
      </c>
      <c r="Q9" t="s">
        <v>101</v>
      </c>
    </row>
    <row r="10" spans="1:18" x14ac:dyDescent="0.3">
      <c r="A10" t="s">
        <v>1</v>
      </c>
      <c r="B10" s="25">
        <v>8</v>
      </c>
      <c r="C10" s="19" t="str">
        <f t="shared" si="0"/>
        <v>CVRBL_TYPE_CD</v>
      </c>
      <c r="D10" t="s">
        <v>45</v>
      </c>
      <c r="E10">
        <v>2</v>
      </c>
      <c r="G10" t="s">
        <v>176</v>
      </c>
      <c r="I10" t="s">
        <v>182</v>
      </c>
      <c r="J10" s="68"/>
      <c r="M10" t="s">
        <v>80</v>
      </c>
      <c r="N10" t="s">
        <v>91</v>
      </c>
      <c r="O10" t="s">
        <v>28</v>
      </c>
      <c r="P10" t="s">
        <v>98</v>
      </c>
      <c r="Q10" t="s">
        <v>102</v>
      </c>
    </row>
    <row r="11" spans="1:18" x14ac:dyDescent="0.3">
      <c r="A11" t="s">
        <v>1</v>
      </c>
      <c r="B11" s="25">
        <v>9</v>
      </c>
      <c r="C11" s="19" t="str">
        <f t="shared" si="0"/>
        <v>PREFD_COVG_CURR_CD</v>
      </c>
      <c r="D11" t="s">
        <v>45</v>
      </c>
      <c r="E11">
        <v>2</v>
      </c>
      <c r="G11" t="s">
        <v>176</v>
      </c>
      <c r="I11" t="s">
        <v>183</v>
      </c>
      <c r="J11" s="68"/>
      <c r="M11" t="s">
        <v>80</v>
      </c>
      <c r="N11" t="s">
        <v>132</v>
      </c>
      <c r="O11" t="s">
        <v>29</v>
      </c>
      <c r="P11" t="s">
        <v>98</v>
      </c>
      <c r="Q11" t="s">
        <v>102</v>
      </c>
    </row>
    <row r="12" spans="1:18" s="23" customFormat="1" x14ac:dyDescent="0.3">
      <c r="B12" s="26"/>
      <c r="C12" s="20" t="s">
        <v>760</v>
      </c>
      <c r="D12" s="23" t="str">
        <f t="shared" ref="D12:D29" si="1">IF($P12="KEY","Variable characters (100)",IF(P12="DATE_CODE","Date",IF(P12="SOURCE_SYSTEM","Variable characters (10)",IF(P12="TEXT_SMALL","Variable characters (255)",IF(P12="FLAG","Characters (1)","")))))</f>
        <v/>
      </c>
      <c r="J12" s="68"/>
    </row>
    <row r="13" spans="1:18" ht="28.95" customHeight="1" x14ac:dyDescent="0.3">
      <c r="B13" s="25">
        <v>10</v>
      </c>
      <c r="C13" s="19" t="str">
        <f t="shared" si="0"/>
        <v>LO_LOC_KEY (FK)</v>
      </c>
      <c r="D13" t="s">
        <v>47</v>
      </c>
      <c r="E13">
        <v>2</v>
      </c>
      <c r="G13" t="s">
        <v>176</v>
      </c>
      <c r="I13" s="24" t="s">
        <v>184</v>
      </c>
      <c r="J13" s="68"/>
      <c r="M13" t="s">
        <v>76</v>
      </c>
      <c r="N13" t="s">
        <v>133</v>
      </c>
      <c r="O13" t="s">
        <v>148</v>
      </c>
      <c r="P13" t="s">
        <v>96</v>
      </c>
      <c r="Q13" t="s">
        <v>99</v>
      </c>
    </row>
    <row r="14" spans="1:18" x14ac:dyDescent="0.3">
      <c r="B14" s="25">
        <v>11</v>
      </c>
      <c r="C14" s="19" t="str">
        <f t="shared" si="0"/>
        <v>LO_CITY</v>
      </c>
      <c r="D14" t="s">
        <v>45</v>
      </c>
      <c r="E14">
        <v>2</v>
      </c>
      <c r="G14" t="s">
        <v>176</v>
      </c>
      <c r="I14" t="s">
        <v>185</v>
      </c>
      <c r="J14" s="68"/>
      <c r="M14" t="s">
        <v>80</v>
      </c>
      <c r="N14" t="s">
        <v>134</v>
      </c>
      <c r="O14" t="s">
        <v>149</v>
      </c>
      <c r="P14" t="s">
        <v>98</v>
      </c>
      <c r="Q14" t="s">
        <v>102</v>
      </c>
    </row>
    <row r="15" spans="1:18" x14ac:dyDescent="0.3">
      <c r="B15" s="25">
        <v>12</v>
      </c>
      <c r="C15" s="19" t="str">
        <f t="shared" si="0"/>
        <v>LO_COUNTY</v>
      </c>
      <c r="D15" t="s">
        <v>45</v>
      </c>
      <c r="E15">
        <v>2</v>
      </c>
      <c r="G15" t="s">
        <v>176</v>
      </c>
      <c r="I15" t="s">
        <v>186</v>
      </c>
      <c r="J15" s="68"/>
      <c r="M15" t="s">
        <v>80</v>
      </c>
      <c r="N15" t="s">
        <v>135</v>
      </c>
      <c r="O15" t="s">
        <v>150</v>
      </c>
      <c r="P15" t="s">
        <v>98</v>
      </c>
      <c r="Q15" t="s">
        <v>102</v>
      </c>
    </row>
    <row r="16" spans="1:18" x14ac:dyDescent="0.3">
      <c r="B16" s="25">
        <v>13</v>
      </c>
      <c r="C16" s="19" t="str">
        <f t="shared" si="0"/>
        <v>LO_FEET_TO_HYDRANT</v>
      </c>
      <c r="D16" t="s">
        <v>45</v>
      </c>
      <c r="E16">
        <v>2</v>
      </c>
      <c r="G16" t="s">
        <v>176</v>
      </c>
      <c r="I16" t="s">
        <v>187</v>
      </c>
      <c r="J16" s="68"/>
      <c r="M16" t="s">
        <v>80</v>
      </c>
      <c r="N16" t="s">
        <v>136</v>
      </c>
      <c r="O16" t="s">
        <v>151</v>
      </c>
      <c r="P16" t="s">
        <v>98</v>
      </c>
      <c r="Q16" t="s">
        <v>102</v>
      </c>
    </row>
    <row r="17" spans="2:17" x14ac:dyDescent="0.3">
      <c r="B17" s="25">
        <v>14</v>
      </c>
      <c r="C17" s="19" t="str">
        <f t="shared" si="0"/>
        <v>LO_FIRE_PROT_CL_PPC</v>
      </c>
      <c r="D17" t="s">
        <v>45</v>
      </c>
      <c r="E17">
        <v>2</v>
      </c>
      <c r="G17" t="s">
        <v>176</v>
      </c>
      <c r="I17" t="s">
        <v>188</v>
      </c>
      <c r="J17" s="68"/>
      <c r="M17" t="s">
        <v>80</v>
      </c>
      <c r="N17" t="s">
        <v>137</v>
      </c>
      <c r="O17" t="s">
        <v>152</v>
      </c>
      <c r="P17" t="s">
        <v>98</v>
      </c>
      <c r="Q17" t="s">
        <v>102</v>
      </c>
    </row>
    <row r="18" spans="2:17" x14ac:dyDescent="0.3">
      <c r="B18" s="25">
        <v>15</v>
      </c>
      <c r="C18" s="19" t="str">
        <f t="shared" si="0"/>
        <v>LO_IS_DIST_FIRE_HYDRANT_AVL_EXT_FL</v>
      </c>
      <c r="D18" t="str">
        <f t="shared" si="1"/>
        <v>Characters (1)</v>
      </c>
      <c r="E18">
        <v>2</v>
      </c>
      <c r="G18" t="s">
        <v>176</v>
      </c>
      <c r="I18" t="s">
        <v>170</v>
      </c>
      <c r="J18" s="68"/>
      <c r="M18" t="s">
        <v>83</v>
      </c>
      <c r="N18" t="s">
        <v>141</v>
      </c>
      <c r="O18" t="s">
        <v>153</v>
      </c>
      <c r="P18" t="s">
        <v>121</v>
      </c>
      <c r="Q18" t="s">
        <v>165</v>
      </c>
    </row>
    <row r="19" spans="2:17" x14ac:dyDescent="0.3">
      <c r="B19" s="25">
        <v>16</v>
      </c>
      <c r="C19" s="19" t="str">
        <f t="shared" si="0"/>
        <v>LO_OLD_PROTECT_CL_EXT</v>
      </c>
      <c r="D19" t="s">
        <v>45</v>
      </c>
      <c r="E19">
        <v>2</v>
      </c>
      <c r="G19" t="s">
        <v>176</v>
      </c>
      <c r="I19" t="s">
        <v>169</v>
      </c>
      <c r="J19" s="68"/>
      <c r="M19" t="s">
        <v>80</v>
      </c>
      <c r="N19" t="s">
        <v>138</v>
      </c>
      <c r="O19" t="s">
        <v>154</v>
      </c>
      <c r="P19" t="s">
        <v>98</v>
      </c>
      <c r="Q19" t="s">
        <v>102</v>
      </c>
    </row>
    <row r="20" spans="2:17" x14ac:dyDescent="0.3">
      <c r="B20" s="25">
        <v>17</v>
      </c>
      <c r="C20" s="19" t="str">
        <f t="shared" si="0"/>
        <v>LO_OVRD_PPC_EXT_FL</v>
      </c>
      <c r="D20" t="str">
        <f t="shared" si="1"/>
        <v>Characters (1)</v>
      </c>
      <c r="E20">
        <v>2</v>
      </c>
      <c r="G20" t="s">
        <v>176</v>
      </c>
      <c r="I20" t="s">
        <v>189</v>
      </c>
      <c r="J20" s="68"/>
      <c r="M20" t="s">
        <v>167</v>
      </c>
      <c r="N20" t="s">
        <v>139</v>
      </c>
      <c r="O20" t="s">
        <v>155</v>
      </c>
      <c r="P20" t="s">
        <v>121</v>
      </c>
      <c r="Q20" t="s">
        <v>165</v>
      </c>
    </row>
    <row r="21" spans="2:17" x14ac:dyDescent="0.3">
      <c r="B21" s="25">
        <v>18</v>
      </c>
      <c r="C21" s="19" t="str">
        <f t="shared" si="0"/>
        <v>LO_PPC_STATUS_EXT_CD</v>
      </c>
      <c r="D21" t="s">
        <v>45</v>
      </c>
      <c r="E21">
        <v>2</v>
      </c>
      <c r="G21" t="s">
        <v>176</v>
      </c>
      <c r="I21" t="s">
        <v>190</v>
      </c>
      <c r="J21" s="68"/>
      <c r="M21" t="s">
        <v>80</v>
      </c>
      <c r="N21" t="s">
        <v>140</v>
      </c>
      <c r="O21" t="s">
        <v>156</v>
      </c>
      <c r="P21" t="s">
        <v>98</v>
      </c>
      <c r="Q21" t="s">
        <v>102</v>
      </c>
    </row>
    <row r="22" spans="2:17" x14ac:dyDescent="0.3">
      <c r="B22" s="25">
        <v>19</v>
      </c>
      <c r="C22" s="19" t="str">
        <f t="shared" si="0"/>
        <v>LO_PRIV_FIRE_DEPT</v>
      </c>
      <c r="D22" t="s">
        <v>45</v>
      </c>
      <c r="E22">
        <v>2</v>
      </c>
      <c r="G22" t="s">
        <v>176</v>
      </c>
      <c r="I22" t="s">
        <v>171</v>
      </c>
      <c r="J22" s="68"/>
      <c r="M22" t="s">
        <v>80</v>
      </c>
      <c r="N22" t="s">
        <v>142</v>
      </c>
      <c r="O22" t="s">
        <v>157</v>
      </c>
      <c r="P22" t="s">
        <v>98</v>
      </c>
      <c r="Q22" t="s">
        <v>102</v>
      </c>
    </row>
    <row r="23" spans="2:17" x14ac:dyDescent="0.3">
      <c r="B23" s="25">
        <v>20</v>
      </c>
      <c r="C23" s="19" t="str">
        <f t="shared" si="0"/>
        <v>LO_RATING_TERR</v>
      </c>
      <c r="D23" t="s">
        <v>45</v>
      </c>
      <c r="E23">
        <v>2</v>
      </c>
      <c r="G23" t="s">
        <v>176</v>
      </c>
      <c r="I23" t="s">
        <v>192</v>
      </c>
      <c r="J23" s="68"/>
      <c r="M23" t="s">
        <v>80</v>
      </c>
      <c r="N23" t="s">
        <v>143</v>
      </c>
      <c r="O23" t="s">
        <v>158</v>
      </c>
      <c r="P23" t="s">
        <v>98</v>
      </c>
      <c r="Q23" t="s">
        <v>102</v>
      </c>
    </row>
    <row r="24" spans="2:17" x14ac:dyDescent="0.3">
      <c r="B24" s="25">
        <v>21</v>
      </c>
      <c r="C24" s="19" t="str">
        <f t="shared" si="0"/>
        <v>LO_UNIT_NO</v>
      </c>
      <c r="D24" t="s">
        <v>197</v>
      </c>
      <c r="E24">
        <v>2</v>
      </c>
      <c r="G24" t="s">
        <v>176</v>
      </c>
      <c r="I24" t="s">
        <v>191</v>
      </c>
      <c r="J24" s="68"/>
      <c r="M24" t="s">
        <v>81</v>
      </c>
      <c r="N24" t="s">
        <v>144</v>
      </c>
      <c r="O24" t="s">
        <v>159</v>
      </c>
      <c r="P24" t="s">
        <v>98</v>
      </c>
      <c r="Q24" t="s">
        <v>102</v>
      </c>
    </row>
    <row r="25" spans="2:17" x14ac:dyDescent="0.3">
      <c r="B25" s="25">
        <v>22</v>
      </c>
      <c r="C25" s="19" t="str">
        <f t="shared" si="0"/>
        <v>LO_ZIP_CD</v>
      </c>
      <c r="D25" t="s">
        <v>45</v>
      </c>
      <c r="E25">
        <v>2</v>
      </c>
      <c r="G25" t="s">
        <v>176</v>
      </c>
      <c r="I25" t="s">
        <v>172</v>
      </c>
      <c r="J25" s="68"/>
      <c r="M25" t="s">
        <v>80</v>
      </c>
      <c r="N25" t="s">
        <v>145</v>
      </c>
      <c r="O25" t="s">
        <v>160</v>
      </c>
      <c r="P25" t="s">
        <v>98</v>
      </c>
      <c r="Q25" t="s">
        <v>102</v>
      </c>
    </row>
    <row r="26" spans="2:17" x14ac:dyDescent="0.3">
      <c r="B26" s="25">
        <v>23</v>
      </c>
      <c r="C26" s="19" t="str">
        <f t="shared" si="0"/>
        <v>LO_EQ_TERR_EXT</v>
      </c>
      <c r="D26" t="s">
        <v>45</v>
      </c>
      <c r="E26">
        <v>2</v>
      </c>
      <c r="G26" t="s">
        <v>176</v>
      </c>
      <c r="I26" t="s">
        <v>194</v>
      </c>
      <c r="J26" s="68"/>
      <c r="M26" t="s">
        <v>80</v>
      </c>
      <c r="N26" t="s">
        <v>146</v>
      </c>
      <c r="O26" t="s">
        <v>161</v>
      </c>
      <c r="P26" t="s">
        <v>98</v>
      </c>
      <c r="Q26" t="s">
        <v>102</v>
      </c>
    </row>
    <row r="27" spans="2:17" x14ac:dyDescent="0.3">
      <c r="B27" s="25">
        <v>24</v>
      </c>
      <c r="C27" s="19" t="str">
        <f t="shared" si="0"/>
        <v>LO_PREFD_STTLMNT_CURR_CD</v>
      </c>
      <c r="D27" t="s">
        <v>45</v>
      </c>
      <c r="E27">
        <v>2</v>
      </c>
      <c r="G27" t="s">
        <v>176</v>
      </c>
      <c r="I27" t="s">
        <v>173</v>
      </c>
      <c r="J27" s="68"/>
      <c r="M27" t="s">
        <v>80</v>
      </c>
      <c r="N27" t="s">
        <v>110</v>
      </c>
      <c r="O27" t="s">
        <v>162</v>
      </c>
      <c r="P27" t="s">
        <v>98</v>
      </c>
      <c r="Q27" t="s">
        <v>102</v>
      </c>
    </row>
    <row r="28" spans="2:17" x14ac:dyDescent="0.3">
      <c r="B28" s="25">
        <v>25</v>
      </c>
      <c r="C28" s="19" t="str">
        <f t="shared" si="0"/>
        <v>LO_USER_UPDATED_COVG_CURR_FL</v>
      </c>
      <c r="D28" t="str">
        <f t="shared" si="1"/>
        <v>Characters (1)</v>
      </c>
      <c r="E28">
        <v>2</v>
      </c>
      <c r="G28" t="s">
        <v>176</v>
      </c>
      <c r="I28" t="s">
        <v>195</v>
      </c>
      <c r="J28" s="68"/>
      <c r="M28" t="s">
        <v>83</v>
      </c>
      <c r="N28" t="s">
        <v>115</v>
      </c>
      <c r="O28" t="s">
        <v>163</v>
      </c>
      <c r="P28" t="s">
        <v>121</v>
      </c>
      <c r="Q28" t="s">
        <v>165</v>
      </c>
    </row>
    <row r="29" spans="2:17" x14ac:dyDescent="0.3">
      <c r="B29" s="25">
        <v>26</v>
      </c>
      <c r="C29" s="19" t="str">
        <f t="shared" si="0"/>
        <v>LO_USER_UPDATED_STTLMNT_CURR_FL</v>
      </c>
      <c r="D29" t="str">
        <f t="shared" si="1"/>
        <v>Characters (1)</v>
      </c>
      <c r="E29">
        <v>2</v>
      </c>
      <c r="G29" t="s">
        <v>176</v>
      </c>
      <c r="I29" t="s">
        <v>196</v>
      </c>
      <c r="J29" s="68"/>
      <c r="M29" t="s">
        <v>83</v>
      </c>
      <c r="N29" t="s">
        <v>116</v>
      </c>
      <c r="O29" t="s">
        <v>164</v>
      </c>
      <c r="P29" t="s">
        <v>121</v>
      </c>
      <c r="Q29" t="s">
        <v>165</v>
      </c>
    </row>
  </sheetData>
  <mergeCells count="4">
    <mergeCell ref="A1:D1"/>
    <mergeCell ref="K1:L1"/>
    <mergeCell ref="N1:R1"/>
    <mergeCell ref="J3:J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6B67-BBA4-448D-A18A-F585416515C5}">
  <dimension ref="A1:R51"/>
  <sheetViews>
    <sheetView topLeftCell="B29" zoomScale="80" zoomScaleNormal="80" workbookViewId="0">
      <selection activeCell="O11" sqref="O11"/>
    </sheetView>
  </sheetViews>
  <sheetFormatPr defaultRowHeight="14.4" x14ac:dyDescent="0.3"/>
  <cols>
    <col min="1" max="1" width="32.5546875" customWidth="1"/>
    <col min="3" max="3" width="42.109375" customWidth="1"/>
    <col min="4" max="4" width="20.33203125" customWidth="1"/>
    <col min="7" max="7" width="26.109375" customWidth="1"/>
    <col min="9" max="9" width="67.88671875" customWidth="1"/>
    <col min="10" max="10" width="21.109375" customWidth="1"/>
    <col min="11" max="11" width="16.33203125" customWidth="1"/>
    <col min="12" max="12" width="18.44140625" customWidth="1"/>
    <col min="13" max="13" width="20.6640625" customWidth="1"/>
    <col min="14" max="14" width="26.21875" bestFit="1" customWidth="1"/>
    <col min="15" max="15" width="36.77734375" customWidth="1"/>
    <col min="16" max="16" width="27.33203125" customWidth="1"/>
    <col min="17" max="17" width="22.109375" bestFit="1" customWidth="1"/>
    <col min="18" max="18" width="21.77734375" bestFit="1" customWidth="1"/>
  </cols>
  <sheetData>
    <row r="1" spans="1:18" x14ac:dyDescent="0.3">
      <c r="A1" s="63" t="s">
        <v>2</v>
      </c>
      <c r="B1" s="63"/>
      <c r="C1" s="63"/>
      <c r="D1" s="63"/>
      <c r="E1" s="1"/>
      <c r="F1" s="1"/>
      <c r="G1" s="1"/>
      <c r="H1" s="1"/>
      <c r="I1" s="1"/>
      <c r="J1" s="2"/>
      <c r="K1" s="63" t="s">
        <v>12</v>
      </c>
      <c r="L1" s="63"/>
      <c r="M1" s="3" t="s">
        <v>14</v>
      </c>
      <c r="N1" s="64" t="s">
        <v>15</v>
      </c>
      <c r="O1" s="64"/>
      <c r="P1" s="64"/>
      <c r="Q1" s="64"/>
      <c r="R1" s="64"/>
    </row>
    <row r="2" spans="1:18" x14ac:dyDescent="0.3">
      <c r="A2" s="4" t="s">
        <v>0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128</v>
      </c>
      <c r="G2" s="5" t="s">
        <v>7</v>
      </c>
      <c r="H2" s="5" t="s">
        <v>5</v>
      </c>
      <c r="I2" s="5" t="s">
        <v>8</v>
      </c>
      <c r="J2" s="6" t="s">
        <v>9</v>
      </c>
      <c r="K2" s="7" t="s">
        <v>10</v>
      </c>
      <c r="L2" s="7" t="s">
        <v>11</v>
      </c>
      <c r="M2" s="3" t="s">
        <v>13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</row>
    <row r="3" spans="1:18" x14ac:dyDescent="0.3">
      <c r="A3" t="s">
        <v>1</v>
      </c>
      <c r="B3">
        <v>1</v>
      </c>
      <c r="C3" t="str">
        <f>O3</f>
        <v>BP_CVRBL_KEY (PK)</v>
      </c>
      <c r="D3" t="s">
        <v>47</v>
      </c>
      <c r="E3" t="s">
        <v>175</v>
      </c>
      <c r="G3" t="s">
        <v>316</v>
      </c>
      <c r="I3" t="s">
        <v>177</v>
      </c>
      <c r="J3" t="s">
        <v>317</v>
      </c>
      <c r="M3" t="s">
        <v>75</v>
      </c>
      <c r="N3" t="s">
        <v>84</v>
      </c>
      <c r="O3" t="s">
        <v>21</v>
      </c>
      <c r="P3" t="s">
        <v>96</v>
      </c>
      <c r="Q3" t="s">
        <v>99</v>
      </c>
    </row>
    <row r="4" spans="1:18" x14ac:dyDescent="0.3">
      <c r="A4" t="s">
        <v>1</v>
      </c>
      <c r="B4">
        <v>2</v>
      </c>
      <c r="C4" t="str">
        <f t="shared" ref="C4:C51" si="0">O4</f>
        <v>POL_KEY (FK)</v>
      </c>
      <c r="D4" t="s">
        <v>47</v>
      </c>
      <c r="E4">
        <v>1</v>
      </c>
      <c r="G4" t="s">
        <v>316</v>
      </c>
      <c r="I4" t="s">
        <v>193</v>
      </c>
      <c r="M4" t="s">
        <v>76</v>
      </c>
      <c r="N4" t="s">
        <v>85</v>
      </c>
      <c r="O4" t="s">
        <v>22</v>
      </c>
      <c r="P4" t="s">
        <v>96</v>
      </c>
      <c r="Q4" t="s">
        <v>99</v>
      </c>
    </row>
    <row r="5" spans="1:18" x14ac:dyDescent="0.3">
      <c r="A5" t="s">
        <v>1</v>
      </c>
      <c r="B5">
        <v>3</v>
      </c>
      <c r="C5" t="str">
        <f t="shared" si="0"/>
        <v>POL_LINE_KEY (FK)</v>
      </c>
      <c r="D5" t="s">
        <v>47</v>
      </c>
      <c r="E5">
        <v>1</v>
      </c>
      <c r="G5" t="s">
        <v>316</v>
      </c>
      <c r="I5" t="s">
        <v>178</v>
      </c>
      <c r="M5" t="s">
        <v>76</v>
      </c>
      <c r="N5" t="s">
        <v>86</v>
      </c>
      <c r="O5" t="s">
        <v>23</v>
      </c>
      <c r="P5" t="s">
        <v>96</v>
      </c>
      <c r="Q5" t="s">
        <v>99</v>
      </c>
    </row>
    <row r="6" spans="1:18" x14ac:dyDescent="0.3">
      <c r="A6" t="s">
        <v>1</v>
      </c>
      <c r="B6">
        <v>4</v>
      </c>
      <c r="C6" t="str">
        <f t="shared" si="0"/>
        <v>CVRBL_TYPE_KEY (FK)</v>
      </c>
      <c r="D6" t="s">
        <v>47</v>
      </c>
      <c r="E6">
        <v>1</v>
      </c>
      <c r="G6" t="s">
        <v>316</v>
      </c>
      <c r="I6" t="s">
        <v>179</v>
      </c>
      <c r="M6" t="s">
        <v>76</v>
      </c>
      <c r="N6" t="s">
        <v>87</v>
      </c>
      <c r="O6" t="s">
        <v>94</v>
      </c>
      <c r="P6" t="s">
        <v>96</v>
      </c>
      <c r="Q6" t="s">
        <v>99</v>
      </c>
    </row>
    <row r="7" spans="1:18" x14ac:dyDescent="0.3">
      <c r="A7" t="s">
        <v>1</v>
      </c>
      <c r="B7">
        <v>5</v>
      </c>
      <c r="C7" t="str">
        <f t="shared" si="0"/>
        <v>END_EFF_DT (PK)</v>
      </c>
      <c r="D7" t="s">
        <v>49</v>
      </c>
      <c r="E7">
        <v>2</v>
      </c>
      <c r="G7" t="s">
        <v>316</v>
      </c>
      <c r="I7" t="s">
        <v>180</v>
      </c>
      <c r="M7" t="s">
        <v>77</v>
      </c>
      <c r="N7" t="s">
        <v>130</v>
      </c>
      <c r="O7" t="s">
        <v>147</v>
      </c>
      <c r="P7" t="s">
        <v>97</v>
      </c>
      <c r="Q7" t="s">
        <v>100</v>
      </c>
    </row>
    <row r="8" spans="1:18" x14ac:dyDescent="0.3">
      <c r="A8" t="s">
        <v>1</v>
      </c>
      <c r="B8">
        <v>6</v>
      </c>
      <c r="C8" t="str">
        <f t="shared" si="0"/>
        <v>END_EXP_DT</v>
      </c>
      <c r="D8" t="s">
        <v>49</v>
      </c>
      <c r="E8">
        <v>2</v>
      </c>
      <c r="G8" t="s">
        <v>316</v>
      </c>
      <c r="I8" t="s">
        <v>168</v>
      </c>
      <c r="M8" t="s">
        <v>78</v>
      </c>
      <c r="N8" t="s">
        <v>131</v>
      </c>
      <c r="O8" t="s">
        <v>26</v>
      </c>
      <c r="P8" t="s">
        <v>97</v>
      </c>
      <c r="Q8" t="s">
        <v>100</v>
      </c>
    </row>
    <row r="9" spans="1:18" x14ac:dyDescent="0.3">
      <c r="A9" t="s">
        <v>1</v>
      </c>
      <c r="B9">
        <v>7</v>
      </c>
      <c r="C9" t="str">
        <f t="shared" si="0"/>
        <v>SOURCE_SYSTEM</v>
      </c>
      <c r="D9" t="s">
        <v>50</v>
      </c>
      <c r="E9" t="s">
        <v>175</v>
      </c>
      <c r="G9" t="s">
        <v>316</v>
      </c>
      <c r="I9" s="24" t="s">
        <v>181</v>
      </c>
      <c r="M9" t="s">
        <v>166</v>
      </c>
      <c r="N9" t="s">
        <v>90</v>
      </c>
      <c r="O9" t="s">
        <v>27</v>
      </c>
      <c r="P9" t="s">
        <v>27</v>
      </c>
      <c r="Q9" t="s">
        <v>101</v>
      </c>
    </row>
    <row r="10" spans="1:18" x14ac:dyDescent="0.3">
      <c r="A10" t="s">
        <v>1</v>
      </c>
      <c r="B10">
        <v>8</v>
      </c>
      <c r="C10" t="str">
        <f t="shared" si="0"/>
        <v>CVRBL_TYPE_CD</v>
      </c>
      <c r="D10" t="s">
        <v>45</v>
      </c>
      <c r="E10">
        <v>2</v>
      </c>
      <c r="G10" t="s">
        <v>316</v>
      </c>
      <c r="I10" t="s">
        <v>182</v>
      </c>
      <c r="M10" t="s">
        <v>80</v>
      </c>
      <c r="N10" t="s">
        <v>91</v>
      </c>
      <c r="O10" t="s">
        <v>28</v>
      </c>
      <c r="P10" t="s">
        <v>98</v>
      </c>
      <c r="Q10" t="s">
        <v>102</v>
      </c>
    </row>
    <row r="11" spans="1:18" x14ac:dyDescent="0.3">
      <c r="A11" t="s">
        <v>1</v>
      </c>
      <c r="B11">
        <v>9</v>
      </c>
      <c r="C11" t="str">
        <f t="shared" si="0"/>
        <v>PREFD_COVG_CURR_CD</v>
      </c>
      <c r="D11" t="s">
        <v>45</v>
      </c>
      <c r="E11">
        <v>2</v>
      </c>
      <c r="G11" t="s">
        <v>316</v>
      </c>
      <c r="I11" t="s">
        <v>183</v>
      </c>
      <c r="M11" t="s">
        <v>80</v>
      </c>
      <c r="N11" t="s">
        <v>132</v>
      </c>
      <c r="O11" t="s">
        <v>29</v>
      </c>
      <c r="P11" t="s">
        <v>98</v>
      </c>
      <c r="Q11" t="s">
        <v>102</v>
      </c>
    </row>
    <row r="12" spans="1:18" s="23" customFormat="1" x14ac:dyDescent="0.3"/>
    <row r="13" spans="1:18" x14ac:dyDescent="0.3">
      <c r="B13">
        <v>10</v>
      </c>
      <c r="C13" t="str">
        <f t="shared" si="0"/>
        <v>CL_BP_BLDG_KEY (FK)</v>
      </c>
      <c r="D13" t="s">
        <v>47</v>
      </c>
      <c r="E13">
        <v>2</v>
      </c>
      <c r="G13" t="s">
        <v>316</v>
      </c>
      <c r="I13" t="s">
        <v>277</v>
      </c>
      <c r="M13" t="s">
        <v>76</v>
      </c>
      <c r="N13" t="s">
        <v>198</v>
      </c>
      <c r="O13" t="s">
        <v>235</v>
      </c>
      <c r="P13" t="s">
        <v>96</v>
      </c>
      <c r="Q13" t="s">
        <v>99</v>
      </c>
    </row>
    <row r="14" spans="1:18" x14ac:dyDescent="0.3">
      <c r="B14">
        <v>11</v>
      </c>
      <c r="C14" t="str">
        <f t="shared" si="0"/>
        <v>CL_AREA</v>
      </c>
      <c r="D14" t="s">
        <v>197</v>
      </c>
      <c r="E14">
        <v>2</v>
      </c>
      <c r="G14" t="s">
        <v>316</v>
      </c>
      <c r="I14" t="s">
        <v>278</v>
      </c>
      <c r="M14" t="s">
        <v>233</v>
      </c>
      <c r="N14" t="s">
        <v>199</v>
      </c>
      <c r="O14" t="s">
        <v>236</v>
      </c>
      <c r="P14" t="s">
        <v>274</v>
      </c>
      <c r="Q14" t="s">
        <v>276</v>
      </c>
    </row>
    <row r="15" spans="1:18" x14ac:dyDescent="0.3">
      <c r="B15">
        <v>12</v>
      </c>
      <c r="C15" t="str">
        <f t="shared" si="0"/>
        <v>CL_BLKT_ID_NO</v>
      </c>
      <c r="D15" t="s">
        <v>197</v>
      </c>
      <c r="E15">
        <v>2</v>
      </c>
      <c r="G15" t="s">
        <v>316</v>
      </c>
      <c r="I15" t="s">
        <v>279</v>
      </c>
      <c r="M15" t="s">
        <v>233</v>
      </c>
      <c r="N15" t="s">
        <v>200</v>
      </c>
      <c r="O15" t="s">
        <v>237</v>
      </c>
      <c r="P15" t="s">
        <v>274</v>
      </c>
      <c r="Q15" t="s">
        <v>276</v>
      </c>
    </row>
    <row r="16" spans="1:18" x14ac:dyDescent="0.3">
      <c r="B16">
        <v>13</v>
      </c>
      <c r="C16" t="str">
        <f t="shared" si="0"/>
        <v>CL_CL_CD</v>
      </c>
      <c r="D16" t="s">
        <v>45</v>
      </c>
      <c r="E16">
        <v>2</v>
      </c>
      <c r="G16" t="s">
        <v>316</v>
      </c>
      <c r="I16" t="s">
        <v>280</v>
      </c>
      <c r="M16" t="s">
        <v>80</v>
      </c>
      <c r="N16" t="s">
        <v>201</v>
      </c>
      <c r="O16" t="s">
        <v>238</v>
      </c>
      <c r="P16" t="s">
        <v>98</v>
      </c>
      <c r="Q16" t="s">
        <v>102</v>
      </c>
    </row>
    <row r="17" spans="2:17" x14ac:dyDescent="0.3">
      <c r="B17">
        <v>14</v>
      </c>
      <c r="C17" t="str">
        <f t="shared" si="0"/>
        <v>CL_CL_TEXT</v>
      </c>
      <c r="D17" t="s">
        <v>45</v>
      </c>
      <c r="E17">
        <v>2</v>
      </c>
      <c r="G17" t="s">
        <v>316</v>
      </c>
      <c r="I17" t="s">
        <v>281</v>
      </c>
      <c r="M17" t="s">
        <v>80</v>
      </c>
      <c r="N17" t="s">
        <v>202</v>
      </c>
      <c r="O17" t="s">
        <v>239</v>
      </c>
      <c r="P17" t="s">
        <v>98</v>
      </c>
      <c r="Q17" t="s">
        <v>102</v>
      </c>
    </row>
    <row r="18" spans="2:17" x14ac:dyDescent="0.3">
      <c r="B18">
        <v>15</v>
      </c>
      <c r="C18" t="str">
        <f t="shared" si="0"/>
        <v>CL_CL_GRP</v>
      </c>
      <c r="D18" t="s">
        <v>45</v>
      </c>
      <c r="E18">
        <v>2</v>
      </c>
      <c r="G18" t="s">
        <v>316</v>
      </c>
      <c r="I18" t="s">
        <v>282</v>
      </c>
      <c r="M18" t="s">
        <v>80</v>
      </c>
      <c r="N18" t="s">
        <v>203</v>
      </c>
      <c r="O18" t="s">
        <v>240</v>
      </c>
      <c r="P18" t="s">
        <v>98</v>
      </c>
      <c r="Q18" t="s">
        <v>102</v>
      </c>
    </row>
    <row r="19" spans="2:17" x14ac:dyDescent="0.3">
      <c r="B19">
        <v>16</v>
      </c>
      <c r="C19" t="str">
        <f t="shared" si="0"/>
        <v>CL_CL_PROP_TYPE</v>
      </c>
      <c r="D19" t="s">
        <v>45</v>
      </c>
      <c r="E19">
        <v>2</v>
      </c>
      <c r="G19" t="s">
        <v>316</v>
      </c>
      <c r="I19" t="s">
        <v>283</v>
      </c>
      <c r="M19" t="s">
        <v>80</v>
      </c>
      <c r="N19" t="s">
        <v>204</v>
      </c>
      <c r="O19" t="s">
        <v>241</v>
      </c>
      <c r="P19" t="s">
        <v>275</v>
      </c>
      <c r="Q19" t="s">
        <v>102</v>
      </c>
    </row>
    <row r="20" spans="2:17" x14ac:dyDescent="0.3">
      <c r="B20">
        <v>17</v>
      </c>
      <c r="C20" t="str">
        <f t="shared" si="0"/>
        <v>CL_CLASS_NO</v>
      </c>
      <c r="D20" t="s">
        <v>197</v>
      </c>
      <c r="E20">
        <v>2</v>
      </c>
      <c r="G20" t="s">
        <v>316</v>
      </c>
      <c r="I20" t="s">
        <v>284</v>
      </c>
      <c r="M20" t="s">
        <v>233</v>
      </c>
      <c r="N20" t="s">
        <v>205</v>
      </c>
      <c r="O20" t="s">
        <v>242</v>
      </c>
      <c r="P20" t="s">
        <v>274</v>
      </c>
      <c r="Q20" t="s">
        <v>276</v>
      </c>
    </row>
    <row r="21" spans="2:17" x14ac:dyDescent="0.3">
      <c r="B21">
        <v>18</v>
      </c>
      <c r="C21" t="str">
        <f t="shared" si="0"/>
        <v>CL_CONDO_BYLAWS</v>
      </c>
      <c r="D21" t="s">
        <v>45</v>
      </c>
      <c r="E21">
        <v>2</v>
      </c>
      <c r="G21" t="s">
        <v>316</v>
      </c>
      <c r="I21" t="s">
        <v>285</v>
      </c>
      <c r="M21" t="s">
        <v>80</v>
      </c>
      <c r="N21" t="s">
        <v>206</v>
      </c>
      <c r="O21" t="s">
        <v>243</v>
      </c>
      <c r="P21" t="s">
        <v>98</v>
      </c>
      <c r="Q21" t="s">
        <v>102</v>
      </c>
    </row>
    <row r="22" spans="2:17" x14ac:dyDescent="0.3">
      <c r="B22">
        <v>19</v>
      </c>
      <c r="C22" t="str">
        <f t="shared" si="0"/>
        <v>CL_CONDO_RESIDENCE</v>
      </c>
      <c r="D22" t="s">
        <v>45</v>
      </c>
      <c r="E22">
        <v>2</v>
      </c>
      <c r="G22" t="s">
        <v>316</v>
      </c>
      <c r="I22" t="s">
        <v>286</v>
      </c>
      <c r="M22" t="s">
        <v>80</v>
      </c>
      <c r="N22" t="s">
        <v>207</v>
      </c>
      <c r="O22" t="s">
        <v>244</v>
      </c>
      <c r="P22" t="s">
        <v>98</v>
      </c>
      <c r="Q22" t="s">
        <v>102</v>
      </c>
    </row>
    <row r="23" spans="2:17" x14ac:dyDescent="0.3">
      <c r="B23">
        <v>20</v>
      </c>
      <c r="C23" t="str">
        <f t="shared" si="0"/>
        <v>CL_TEXT_OF_PROP_OR_COVG</v>
      </c>
      <c r="D23" t="s">
        <v>45</v>
      </c>
      <c r="E23">
        <v>2</v>
      </c>
      <c r="G23" t="s">
        <v>316</v>
      </c>
      <c r="I23" t="s">
        <v>287</v>
      </c>
      <c r="M23" t="s">
        <v>80</v>
      </c>
      <c r="N23" t="s">
        <v>208</v>
      </c>
      <c r="O23" t="s">
        <v>245</v>
      </c>
      <c r="P23" t="s">
        <v>275</v>
      </c>
      <c r="Q23" t="s">
        <v>102</v>
      </c>
    </row>
    <row r="24" spans="2:17" x14ac:dyDescent="0.3">
      <c r="B24">
        <v>21</v>
      </c>
      <c r="C24" t="str">
        <f t="shared" si="0"/>
        <v>CL_EXPSR</v>
      </c>
      <c r="D24" t="s">
        <v>197</v>
      </c>
      <c r="E24">
        <v>2</v>
      </c>
      <c r="G24" t="s">
        <v>316</v>
      </c>
      <c r="I24" t="s">
        <v>288</v>
      </c>
      <c r="M24" t="s">
        <v>233</v>
      </c>
      <c r="N24" t="s">
        <v>209</v>
      </c>
      <c r="O24" t="s">
        <v>246</v>
      </c>
      <c r="P24" t="s">
        <v>274</v>
      </c>
      <c r="Q24" t="s">
        <v>276</v>
      </c>
    </row>
    <row r="25" spans="2:17" x14ac:dyDescent="0.3">
      <c r="B25">
        <v>22</v>
      </c>
      <c r="C25" t="str">
        <f t="shared" si="0"/>
        <v>CL_EXPSR_BASIS</v>
      </c>
      <c r="D25" t="s">
        <v>45</v>
      </c>
      <c r="E25">
        <v>2</v>
      </c>
      <c r="G25" t="s">
        <v>316</v>
      </c>
      <c r="I25" t="s">
        <v>289</v>
      </c>
      <c r="M25" t="s">
        <v>80</v>
      </c>
      <c r="N25" t="s">
        <v>210</v>
      </c>
      <c r="O25" t="s">
        <v>247</v>
      </c>
      <c r="P25" t="s">
        <v>98</v>
      </c>
      <c r="Q25" t="s">
        <v>102</v>
      </c>
    </row>
    <row r="26" spans="2:17" x14ac:dyDescent="0.3">
      <c r="B26">
        <v>23</v>
      </c>
      <c r="C26" t="str">
        <f t="shared" si="0"/>
        <v>CL_FUNCTL_BUSN_PRSNL_PROP_VALTN_APPLY</v>
      </c>
      <c r="D26" t="s">
        <v>45</v>
      </c>
      <c r="E26">
        <v>2</v>
      </c>
      <c r="G26" t="s">
        <v>316</v>
      </c>
      <c r="I26" t="s">
        <v>290</v>
      </c>
      <c r="M26" t="s">
        <v>80</v>
      </c>
      <c r="N26" t="s">
        <v>211</v>
      </c>
      <c r="O26" t="s">
        <v>248</v>
      </c>
      <c r="P26" t="s">
        <v>98</v>
      </c>
      <c r="Q26" t="s">
        <v>102</v>
      </c>
    </row>
    <row r="27" spans="2:17" x14ac:dyDescent="0.3">
      <c r="B27">
        <v>24</v>
      </c>
      <c r="C27" t="str">
        <f t="shared" si="0"/>
        <v>CL_NORTH_AMERICAN_INDUSTRY_CLASS_SYS_NAICS_CD</v>
      </c>
      <c r="E27">
        <v>2</v>
      </c>
      <c r="G27" t="s">
        <v>316</v>
      </c>
      <c r="I27" t="s">
        <v>291</v>
      </c>
      <c r="M27" t="s">
        <v>80</v>
      </c>
      <c r="N27" t="s">
        <v>234</v>
      </c>
      <c r="O27" t="s">
        <v>249</v>
      </c>
      <c r="P27" t="s">
        <v>98</v>
      </c>
      <c r="Q27" t="s">
        <v>102</v>
      </c>
    </row>
    <row r="28" spans="2:17" x14ac:dyDescent="0.3">
      <c r="B28">
        <v>25</v>
      </c>
      <c r="C28" t="str">
        <f t="shared" si="0"/>
        <v>CL_PREDOMINANT_FL</v>
      </c>
      <c r="D28" t="s">
        <v>127</v>
      </c>
      <c r="E28">
        <v>2</v>
      </c>
      <c r="G28" t="s">
        <v>316</v>
      </c>
      <c r="I28" t="s">
        <v>292</v>
      </c>
      <c r="M28" t="s">
        <v>83</v>
      </c>
      <c r="N28" t="s">
        <v>212</v>
      </c>
      <c r="O28" t="s">
        <v>250</v>
      </c>
      <c r="P28" t="s">
        <v>121</v>
      </c>
      <c r="Q28" t="s">
        <v>165</v>
      </c>
    </row>
    <row r="29" spans="2:17" x14ac:dyDescent="0.3">
      <c r="B29">
        <v>26</v>
      </c>
      <c r="C29" t="str">
        <f t="shared" si="0"/>
        <v>CL_RABOP_TYPE</v>
      </c>
      <c r="D29" t="s">
        <v>45</v>
      </c>
      <c r="E29">
        <v>2</v>
      </c>
      <c r="G29" t="s">
        <v>316</v>
      </c>
      <c r="I29" t="s">
        <v>293</v>
      </c>
      <c r="M29" t="s">
        <v>80</v>
      </c>
      <c r="N29" t="s">
        <v>213</v>
      </c>
      <c r="O29" t="s">
        <v>251</v>
      </c>
      <c r="P29" t="s">
        <v>98</v>
      </c>
      <c r="Q29" t="s">
        <v>102</v>
      </c>
    </row>
    <row r="30" spans="2:17" x14ac:dyDescent="0.3">
      <c r="B30">
        <v>27</v>
      </c>
      <c r="C30" t="str">
        <f t="shared" si="0"/>
        <v>CL_RABOP_TYPE_LIAB_OCCUPANTS</v>
      </c>
      <c r="D30" t="s">
        <v>45</v>
      </c>
      <c r="E30">
        <v>2</v>
      </c>
      <c r="G30" t="s">
        <v>316</v>
      </c>
      <c r="I30" t="s">
        <v>294</v>
      </c>
      <c r="M30" t="s">
        <v>80</v>
      </c>
      <c r="N30" t="s">
        <v>214</v>
      </c>
      <c r="O30" t="s">
        <v>252</v>
      </c>
      <c r="P30" t="s">
        <v>275</v>
      </c>
      <c r="Q30" t="s">
        <v>102</v>
      </c>
    </row>
    <row r="31" spans="2:17" x14ac:dyDescent="0.3">
      <c r="B31">
        <v>28</v>
      </c>
      <c r="C31" t="str">
        <f t="shared" si="0"/>
        <v>CL_RABOP_WANTED</v>
      </c>
      <c r="D31" t="s">
        <v>45</v>
      </c>
      <c r="E31">
        <v>2</v>
      </c>
      <c r="G31" t="s">
        <v>316</v>
      </c>
      <c r="I31" t="s">
        <v>295</v>
      </c>
      <c r="M31" t="s">
        <v>80</v>
      </c>
      <c r="N31" t="s">
        <v>215</v>
      </c>
      <c r="O31" t="s">
        <v>253</v>
      </c>
      <c r="P31" t="s">
        <v>275</v>
      </c>
      <c r="Q31" t="s">
        <v>102</v>
      </c>
    </row>
    <row r="32" spans="2:17" x14ac:dyDescent="0.3">
      <c r="B32">
        <v>29</v>
      </c>
      <c r="C32" t="str">
        <f t="shared" si="0"/>
        <v>CL_RATE_NO</v>
      </c>
      <c r="D32" t="s">
        <v>45</v>
      </c>
      <c r="E32">
        <v>2</v>
      </c>
      <c r="G32" t="s">
        <v>316</v>
      </c>
      <c r="I32" t="s">
        <v>296</v>
      </c>
      <c r="M32" t="s">
        <v>80</v>
      </c>
      <c r="N32" t="s">
        <v>216</v>
      </c>
      <c r="O32" t="s">
        <v>254</v>
      </c>
      <c r="P32" t="s">
        <v>98</v>
      </c>
      <c r="Q32" t="s">
        <v>102</v>
      </c>
    </row>
    <row r="33" spans="2:17" x14ac:dyDescent="0.3">
      <c r="B33">
        <v>30</v>
      </c>
      <c r="C33" t="str">
        <f t="shared" si="0"/>
        <v>CL_STD_INDUSTRIAL_CLASS_SIC_CD</v>
      </c>
      <c r="D33" t="s">
        <v>45</v>
      </c>
      <c r="E33">
        <v>2</v>
      </c>
      <c r="G33" t="s">
        <v>316</v>
      </c>
      <c r="I33" t="s">
        <v>297</v>
      </c>
      <c r="M33" t="s">
        <v>80</v>
      </c>
      <c r="N33" t="s">
        <v>225</v>
      </c>
      <c r="O33" t="s">
        <v>255</v>
      </c>
      <c r="P33" t="s">
        <v>275</v>
      </c>
      <c r="Q33" t="s">
        <v>102</v>
      </c>
    </row>
    <row r="34" spans="2:17" x14ac:dyDescent="0.3">
      <c r="B34">
        <v>31</v>
      </c>
      <c r="C34" t="str">
        <f t="shared" si="0"/>
        <v>CL_TOWN_HOUSE_BY_LAW</v>
      </c>
      <c r="D34" t="s">
        <v>45</v>
      </c>
      <c r="E34">
        <v>2</v>
      </c>
      <c r="G34" t="s">
        <v>316</v>
      </c>
      <c r="I34" t="s">
        <v>298</v>
      </c>
      <c r="M34" t="s">
        <v>80</v>
      </c>
      <c r="N34" t="s">
        <v>217</v>
      </c>
      <c r="O34" t="s">
        <v>256</v>
      </c>
      <c r="P34" t="s">
        <v>275</v>
      </c>
      <c r="Q34" t="s">
        <v>102</v>
      </c>
    </row>
    <row r="35" spans="2:17" x14ac:dyDescent="0.3">
      <c r="B35">
        <v>32</v>
      </c>
      <c r="C35" t="str">
        <f t="shared" si="0"/>
        <v>CL_PLUMBING_LICENSE</v>
      </c>
      <c r="D35" t="s">
        <v>45</v>
      </c>
      <c r="E35">
        <v>2</v>
      </c>
      <c r="G35" t="s">
        <v>316</v>
      </c>
      <c r="I35" t="s">
        <v>299</v>
      </c>
      <c r="M35" t="s">
        <v>80</v>
      </c>
      <c r="N35" t="s">
        <v>218</v>
      </c>
      <c r="O35" t="s">
        <v>257</v>
      </c>
      <c r="P35" t="s">
        <v>275</v>
      </c>
      <c r="Q35" t="s">
        <v>102</v>
      </c>
    </row>
    <row r="36" spans="2:17" x14ac:dyDescent="0.3">
      <c r="B36">
        <v>33</v>
      </c>
      <c r="C36" t="str">
        <f t="shared" si="0"/>
        <v>CL_TOWN_HOUSE_ASSOC</v>
      </c>
      <c r="D36" t="s">
        <v>45</v>
      </c>
      <c r="E36">
        <v>2</v>
      </c>
      <c r="G36" t="s">
        <v>316</v>
      </c>
      <c r="I36" t="s">
        <v>300</v>
      </c>
      <c r="M36" t="s">
        <v>80</v>
      </c>
      <c r="N36" t="s">
        <v>219</v>
      </c>
      <c r="O36" t="s">
        <v>258</v>
      </c>
      <c r="P36" t="s">
        <v>275</v>
      </c>
      <c r="Q36" t="s">
        <v>102</v>
      </c>
    </row>
    <row r="37" spans="2:17" x14ac:dyDescent="0.3">
      <c r="B37">
        <v>34</v>
      </c>
      <c r="C37" t="str">
        <f t="shared" si="0"/>
        <v>CL_CONTRACTORS_WORK</v>
      </c>
      <c r="D37" t="s">
        <v>45</v>
      </c>
      <c r="E37">
        <v>2</v>
      </c>
      <c r="G37" t="s">
        <v>316</v>
      </c>
      <c r="I37" t="s">
        <v>301</v>
      </c>
      <c r="M37" t="s">
        <v>80</v>
      </c>
      <c r="N37" t="s">
        <v>220</v>
      </c>
      <c r="O37" t="s">
        <v>259</v>
      </c>
      <c r="P37" t="s">
        <v>275</v>
      </c>
      <c r="Q37" t="s">
        <v>102</v>
      </c>
    </row>
    <row r="38" spans="2:17" x14ac:dyDescent="0.3">
      <c r="B38">
        <v>35</v>
      </c>
      <c r="C38" t="str">
        <f t="shared" si="0"/>
        <v>CL_AUDITED_EXPSR_EXT</v>
      </c>
      <c r="D38" t="s">
        <v>197</v>
      </c>
      <c r="E38">
        <v>2</v>
      </c>
      <c r="G38" t="s">
        <v>316</v>
      </c>
      <c r="I38" t="s">
        <v>302</v>
      </c>
      <c r="M38" t="s">
        <v>233</v>
      </c>
      <c r="N38" t="s">
        <v>221</v>
      </c>
      <c r="O38" t="s">
        <v>260</v>
      </c>
      <c r="P38" t="s">
        <v>274</v>
      </c>
      <c r="Q38" t="s">
        <v>276</v>
      </c>
    </row>
    <row r="39" spans="2:17" x14ac:dyDescent="0.3">
      <c r="B39">
        <v>36</v>
      </c>
      <c r="C39" t="str">
        <f t="shared" si="0"/>
        <v>CL_BUS_CERT_EXT</v>
      </c>
      <c r="D39" t="s">
        <v>45</v>
      </c>
      <c r="E39">
        <v>2</v>
      </c>
      <c r="G39" t="s">
        <v>316</v>
      </c>
      <c r="I39" t="s">
        <v>303</v>
      </c>
      <c r="M39" t="s">
        <v>80</v>
      </c>
      <c r="N39" t="s">
        <v>222</v>
      </c>
      <c r="O39" t="s">
        <v>261</v>
      </c>
      <c r="P39" t="s">
        <v>98</v>
      </c>
      <c r="Q39" t="s">
        <v>102</v>
      </c>
    </row>
    <row r="40" spans="2:17" x14ac:dyDescent="0.3">
      <c r="B40">
        <v>37</v>
      </c>
      <c r="C40" t="str">
        <f t="shared" si="0"/>
        <v>CL_CNTRCT_IA_CD_CH_EXT</v>
      </c>
      <c r="D40" t="s">
        <v>45</v>
      </c>
      <c r="E40">
        <v>2</v>
      </c>
      <c r="G40" t="s">
        <v>316</v>
      </c>
      <c r="I40" t="s">
        <v>304</v>
      </c>
      <c r="M40" t="s">
        <v>80</v>
      </c>
      <c r="N40" t="s">
        <v>223</v>
      </c>
      <c r="O40" t="s">
        <v>262</v>
      </c>
      <c r="P40" t="s">
        <v>275</v>
      </c>
      <c r="Q40" t="s">
        <v>102</v>
      </c>
    </row>
    <row r="41" spans="2:17" x14ac:dyDescent="0.3">
      <c r="B41">
        <v>38</v>
      </c>
      <c r="C41" t="str">
        <f t="shared" si="0"/>
        <v>CL_CONDO_LAW_DEC_EXT</v>
      </c>
      <c r="D41" t="s">
        <v>45</v>
      </c>
      <c r="E41">
        <v>2</v>
      </c>
      <c r="G41" t="s">
        <v>316</v>
      </c>
      <c r="I41" t="s">
        <v>305</v>
      </c>
      <c r="M41" t="s">
        <v>80</v>
      </c>
      <c r="N41" t="s">
        <v>224</v>
      </c>
      <c r="O41" t="s">
        <v>263</v>
      </c>
      <c r="P41" t="s">
        <v>275</v>
      </c>
      <c r="Q41" t="s">
        <v>102</v>
      </c>
    </row>
    <row r="42" spans="2:17" x14ac:dyDescent="0.3">
      <c r="B42">
        <v>39</v>
      </c>
      <c r="C42" t="str">
        <f t="shared" si="0"/>
        <v>CL_CONDO_LAW_PROJ_EXT</v>
      </c>
      <c r="D42" t="s">
        <v>45</v>
      </c>
      <c r="E42">
        <v>2</v>
      </c>
      <c r="G42" t="s">
        <v>316</v>
      </c>
      <c r="I42" t="s">
        <v>306</v>
      </c>
      <c r="M42" t="s">
        <v>80</v>
      </c>
      <c r="N42" t="s">
        <v>226</v>
      </c>
      <c r="O42" t="s">
        <v>264</v>
      </c>
      <c r="P42" t="s">
        <v>275</v>
      </c>
      <c r="Q42" t="s">
        <v>102</v>
      </c>
    </row>
    <row r="43" spans="2:17" x14ac:dyDescent="0.3">
      <c r="B43">
        <v>40</v>
      </c>
      <c r="C43" t="str">
        <f t="shared" si="0"/>
        <v>CL_EQ_FCTR_EXT</v>
      </c>
      <c r="D43" t="s">
        <v>45</v>
      </c>
      <c r="E43">
        <v>2</v>
      </c>
      <c r="G43" t="s">
        <v>316</v>
      </c>
      <c r="I43" t="s">
        <v>307</v>
      </c>
      <c r="M43" t="s">
        <v>80</v>
      </c>
      <c r="N43" t="s">
        <v>227</v>
      </c>
      <c r="O43" t="s">
        <v>265</v>
      </c>
      <c r="P43" t="s">
        <v>275</v>
      </c>
      <c r="Q43" t="s">
        <v>102</v>
      </c>
    </row>
    <row r="44" spans="2:17" x14ac:dyDescent="0.3">
      <c r="B44">
        <v>41</v>
      </c>
      <c r="C44" t="str">
        <f t="shared" si="0"/>
        <v>CL_EQ_SUB_LMT_FCTR EXT</v>
      </c>
      <c r="D44" t="s">
        <v>45</v>
      </c>
      <c r="E44">
        <v>2</v>
      </c>
      <c r="G44" t="s">
        <v>316</v>
      </c>
      <c r="I44" t="s">
        <v>308</v>
      </c>
      <c r="M44" t="s">
        <v>80</v>
      </c>
      <c r="N44" t="s">
        <v>228</v>
      </c>
      <c r="O44" t="s">
        <v>266</v>
      </c>
      <c r="P44" t="s">
        <v>275</v>
      </c>
      <c r="Q44" t="s">
        <v>102</v>
      </c>
    </row>
    <row r="45" spans="2:17" x14ac:dyDescent="0.3">
      <c r="B45">
        <v>42</v>
      </c>
      <c r="C45" t="str">
        <f t="shared" si="0"/>
        <v>CL_IF_ANY_BASIS_EXT</v>
      </c>
      <c r="D45" t="s">
        <v>45</v>
      </c>
      <c r="E45">
        <v>2</v>
      </c>
      <c r="G45" t="s">
        <v>316</v>
      </c>
      <c r="I45" t="s">
        <v>309</v>
      </c>
      <c r="M45" t="s">
        <v>80</v>
      </c>
      <c r="N45" t="s">
        <v>229</v>
      </c>
      <c r="O45" t="s">
        <v>272</v>
      </c>
      <c r="P45" t="s">
        <v>98</v>
      </c>
      <c r="Q45" t="s">
        <v>102</v>
      </c>
    </row>
    <row r="46" spans="2:17" x14ac:dyDescent="0.3">
      <c r="B46">
        <v>43</v>
      </c>
      <c r="C46" t="str">
        <f t="shared" si="0"/>
        <v>CL_NO_OF_CAR_WASH_BAYS_EXT</v>
      </c>
      <c r="D46" t="s">
        <v>197</v>
      </c>
      <c r="E46">
        <v>2</v>
      </c>
      <c r="G46" t="s">
        <v>316</v>
      </c>
      <c r="I46" t="s">
        <v>310</v>
      </c>
      <c r="M46" t="s">
        <v>233</v>
      </c>
      <c r="N46" t="s">
        <v>230</v>
      </c>
      <c r="O46" t="s">
        <v>273</v>
      </c>
      <c r="P46" t="s">
        <v>274</v>
      </c>
      <c r="Q46" t="s">
        <v>276</v>
      </c>
    </row>
    <row r="47" spans="2:17" x14ac:dyDescent="0.3">
      <c r="B47">
        <v>44</v>
      </c>
      <c r="C47" t="str">
        <f t="shared" si="0"/>
        <v>CL_NO_OF_FUEL_PUMPS_EXT</v>
      </c>
      <c r="D47" t="s">
        <v>197</v>
      </c>
      <c r="E47">
        <v>2</v>
      </c>
      <c r="G47" t="s">
        <v>316</v>
      </c>
      <c r="I47" t="s">
        <v>311</v>
      </c>
      <c r="M47" t="s">
        <v>233</v>
      </c>
      <c r="N47" t="s">
        <v>231</v>
      </c>
      <c r="O47" t="s">
        <v>267</v>
      </c>
      <c r="P47" t="s">
        <v>274</v>
      </c>
      <c r="Q47" t="s">
        <v>276</v>
      </c>
    </row>
    <row r="48" spans="2:17" x14ac:dyDescent="0.3">
      <c r="B48">
        <v>45</v>
      </c>
      <c r="C48" t="str">
        <f t="shared" si="0"/>
        <v>CL_PEST_HERB_POLL_EXT</v>
      </c>
      <c r="D48" t="s">
        <v>45</v>
      </c>
      <c r="E48">
        <v>2</v>
      </c>
      <c r="G48" t="s">
        <v>316</v>
      </c>
      <c r="I48" t="s">
        <v>312</v>
      </c>
      <c r="M48" t="s">
        <v>80</v>
      </c>
      <c r="N48" t="s">
        <v>232</v>
      </c>
      <c r="O48" t="s">
        <v>268</v>
      </c>
      <c r="P48" t="s">
        <v>98</v>
      </c>
      <c r="Q48" t="s">
        <v>102</v>
      </c>
    </row>
    <row r="49" spans="2:17" x14ac:dyDescent="0.3">
      <c r="B49">
        <v>46</v>
      </c>
      <c r="C49" t="str">
        <f t="shared" si="0"/>
        <v>CL_PREFD_STTLMNT_CURR_CD</v>
      </c>
      <c r="D49" t="s">
        <v>45</v>
      </c>
      <c r="E49">
        <v>2</v>
      </c>
      <c r="G49" t="s">
        <v>316</v>
      </c>
      <c r="I49" t="s">
        <v>313</v>
      </c>
      <c r="M49" t="s">
        <v>80</v>
      </c>
      <c r="N49" t="s">
        <v>110</v>
      </c>
      <c r="O49" t="s">
        <v>269</v>
      </c>
      <c r="P49" t="s">
        <v>98</v>
      </c>
      <c r="Q49" t="s">
        <v>102</v>
      </c>
    </row>
    <row r="50" spans="2:17" x14ac:dyDescent="0.3">
      <c r="B50">
        <v>47</v>
      </c>
      <c r="C50" t="str">
        <f t="shared" si="0"/>
        <v>CL_USER_UPDATED_COVG_CURR_FL</v>
      </c>
      <c r="D50" t="s">
        <v>127</v>
      </c>
      <c r="E50">
        <v>2</v>
      </c>
      <c r="G50" t="s">
        <v>316</v>
      </c>
      <c r="I50" t="s">
        <v>314</v>
      </c>
      <c r="M50" t="s">
        <v>83</v>
      </c>
      <c r="N50" t="s">
        <v>115</v>
      </c>
      <c r="O50" t="s">
        <v>270</v>
      </c>
      <c r="P50" t="s">
        <v>121</v>
      </c>
      <c r="Q50" t="s">
        <v>165</v>
      </c>
    </row>
    <row r="51" spans="2:17" x14ac:dyDescent="0.3">
      <c r="B51">
        <v>48</v>
      </c>
      <c r="C51" t="str">
        <f t="shared" si="0"/>
        <v>CL_USER_UPDATED_STTLMNT_CURR_FL</v>
      </c>
      <c r="D51" t="s">
        <v>127</v>
      </c>
      <c r="E51">
        <v>2</v>
      </c>
      <c r="G51" t="s">
        <v>316</v>
      </c>
      <c r="I51" t="s">
        <v>315</v>
      </c>
      <c r="M51" t="s">
        <v>83</v>
      </c>
      <c r="N51" t="s">
        <v>116</v>
      </c>
      <c r="O51" t="s">
        <v>271</v>
      </c>
      <c r="P51" t="s">
        <v>121</v>
      </c>
      <c r="Q51" t="s">
        <v>165</v>
      </c>
    </row>
  </sheetData>
  <mergeCells count="3">
    <mergeCell ref="A1:D1"/>
    <mergeCell ref="K1:L1"/>
    <mergeCell ref="N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05A-D85D-491E-BC98-073D25F18256}">
  <dimension ref="A1:R92"/>
  <sheetViews>
    <sheetView zoomScale="90" zoomScaleNormal="90" workbookViewId="0">
      <selection activeCell="N13" sqref="N13"/>
    </sheetView>
  </sheetViews>
  <sheetFormatPr defaultColWidth="8.77734375" defaultRowHeight="13.8" x14ac:dyDescent="0.3"/>
  <cols>
    <col min="1" max="1" width="30.21875" style="31" customWidth="1"/>
    <col min="2" max="2" width="8.77734375" style="31"/>
    <col min="3" max="3" width="24.33203125" style="27" customWidth="1"/>
    <col min="4" max="4" width="15.44140625" style="31" customWidth="1"/>
    <col min="5" max="6" width="8.77734375" style="31"/>
    <col min="7" max="7" width="21.6640625" style="31" bestFit="1" customWidth="1"/>
    <col min="8" max="8" width="8.77734375" style="31" bestFit="1" customWidth="1"/>
    <col min="9" max="9" width="80.21875" style="27" customWidth="1"/>
    <col min="10" max="10" width="41.6640625" style="31" customWidth="1"/>
    <col min="11" max="11" width="13.5546875" style="31" customWidth="1"/>
    <col min="12" max="12" width="20.33203125" style="31" customWidth="1"/>
    <col min="13" max="13" width="26.21875" style="31" bestFit="1" customWidth="1"/>
    <col min="14" max="14" width="29.5546875" style="31" bestFit="1" customWidth="1"/>
    <col min="15" max="15" width="37.21875" style="27" customWidth="1"/>
    <col min="16" max="16" width="15.21875" style="31" bestFit="1" customWidth="1"/>
    <col min="17" max="17" width="27.77734375" style="31" customWidth="1"/>
    <col min="18" max="18" width="9.5546875" style="31" bestFit="1" customWidth="1"/>
    <col min="19" max="16384" width="8.77734375" style="31"/>
  </cols>
  <sheetData>
    <row r="1" spans="1:18" ht="13.05" x14ac:dyDescent="0.3">
      <c r="A1" s="69" t="s">
        <v>2</v>
      </c>
      <c r="B1" s="69"/>
      <c r="C1" s="69"/>
      <c r="D1" s="69"/>
      <c r="E1" s="10"/>
      <c r="F1" s="10"/>
      <c r="G1" s="10"/>
      <c r="H1" s="10"/>
      <c r="I1" s="28"/>
      <c r="J1" s="29"/>
      <c r="K1" s="69" t="s">
        <v>12</v>
      </c>
      <c r="L1" s="69"/>
      <c r="M1" s="30" t="s">
        <v>14</v>
      </c>
      <c r="N1" s="70" t="s">
        <v>15</v>
      </c>
      <c r="O1" s="70"/>
      <c r="P1" s="70"/>
      <c r="Q1" s="70"/>
      <c r="R1" s="70"/>
    </row>
    <row r="2" spans="1:18" ht="13.05" x14ac:dyDescent="0.3">
      <c r="A2" s="32" t="s">
        <v>0</v>
      </c>
      <c r="B2" s="32" t="s">
        <v>3</v>
      </c>
      <c r="C2" s="41" t="s">
        <v>4</v>
      </c>
      <c r="D2" s="32" t="s">
        <v>5</v>
      </c>
      <c r="E2" s="32" t="s">
        <v>6</v>
      </c>
      <c r="F2" s="32" t="s">
        <v>128</v>
      </c>
      <c r="G2" s="33" t="s">
        <v>7</v>
      </c>
      <c r="H2" s="33" t="s">
        <v>5</v>
      </c>
      <c r="I2" s="34" t="s">
        <v>8</v>
      </c>
      <c r="J2" s="35" t="s">
        <v>9</v>
      </c>
      <c r="K2" s="36" t="s">
        <v>10</v>
      </c>
      <c r="L2" s="36" t="s">
        <v>11</v>
      </c>
      <c r="M2" s="30" t="s">
        <v>13</v>
      </c>
      <c r="N2" s="37" t="s">
        <v>16</v>
      </c>
      <c r="O2" s="38" t="s">
        <v>17</v>
      </c>
      <c r="P2" s="37" t="s">
        <v>18</v>
      </c>
      <c r="Q2" s="37" t="s">
        <v>19</v>
      </c>
      <c r="R2" s="37" t="s">
        <v>20</v>
      </c>
    </row>
    <row r="3" spans="1:18" ht="27.6" x14ac:dyDescent="0.3">
      <c r="A3" s="31" t="s">
        <v>1</v>
      </c>
      <c r="B3" s="39">
        <v>1</v>
      </c>
      <c r="C3" s="27" t="str">
        <f>O3</f>
        <v>BP_CVRBL_KEY (PK)</v>
      </c>
      <c r="D3" s="31" t="s">
        <v>47</v>
      </c>
      <c r="E3" s="39" t="s">
        <v>175</v>
      </c>
      <c r="G3" s="31" t="s">
        <v>407</v>
      </c>
      <c r="I3" s="27" t="s">
        <v>177</v>
      </c>
      <c r="J3" s="71" t="s">
        <v>408</v>
      </c>
      <c r="M3" s="10" t="s">
        <v>75</v>
      </c>
      <c r="N3" s="10" t="s">
        <v>84</v>
      </c>
      <c r="O3" s="28" t="s">
        <v>21</v>
      </c>
      <c r="P3" s="10" t="s">
        <v>96</v>
      </c>
      <c r="Q3" s="10" t="s">
        <v>99</v>
      </c>
    </row>
    <row r="4" spans="1:18" x14ac:dyDescent="0.3">
      <c r="A4" s="31" t="s">
        <v>1</v>
      </c>
      <c r="B4" s="39">
        <v>2</v>
      </c>
      <c r="C4" s="27" t="str">
        <f t="shared" ref="C4:C67" si="0">O4</f>
        <v>POL_KEY (FK)</v>
      </c>
      <c r="D4" s="31" t="s">
        <v>47</v>
      </c>
      <c r="E4" s="39">
        <v>1</v>
      </c>
      <c r="G4" s="31" t="s">
        <v>407</v>
      </c>
      <c r="I4" s="27" t="s">
        <v>193</v>
      </c>
      <c r="J4" s="72"/>
      <c r="M4" s="10" t="s">
        <v>76</v>
      </c>
      <c r="N4" s="10" t="s">
        <v>85</v>
      </c>
      <c r="O4" s="28" t="s">
        <v>22</v>
      </c>
      <c r="P4" s="10" t="s">
        <v>96</v>
      </c>
      <c r="Q4" s="10" t="s">
        <v>99</v>
      </c>
    </row>
    <row r="5" spans="1:18" ht="27.6" x14ac:dyDescent="0.3">
      <c r="A5" s="31" t="s">
        <v>1</v>
      </c>
      <c r="B5" s="39">
        <v>3</v>
      </c>
      <c r="C5" s="27" t="str">
        <f t="shared" si="0"/>
        <v>POL_LINE_KEY (FK)</v>
      </c>
      <c r="D5" s="31" t="s">
        <v>47</v>
      </c>
      <c r="E5" s="39">
        <v>1</v>
      </c>
      <c r="G5" s="31" t="s">
        <v>407</v>
      </c>
      <c r="I5" s="27" t="s">
        <v>178</v>
      </c>
      <c r="J5" s="72"/>
      <c r="M5" s="10" t="s">
        <v>76</v>
      </c>
      <c r="N5" s="10" t="s">
        <v>86</v>
      </c>
      <c r="O5" s="28" t="s">
        <v>23</v>
      </c>
      <c r="P5" s="10" t="s">
        <v>96</v>
      </c>
      <c r="Q5" s="10" t="s">
        <v>99</v>
      </c>
    </row>
    <row r="6" spans="1:18" x14ac:dyDescent="0.3">
      <c r="A6" s="31" t="s">
        <v>1</v>
      </c>
      <c r="B6" s="39">
        <v>4</v>
      </c>
      <c r="C6" s="27" t="str">
        <f t="shared" si="0"/>
        <v>CVRBL_TYPE_KEY (FK)</v>
      </c>
      <c r="D6" s="31" t="s">
        <v>47</v>
      </c>
      <c r="E6" s="39">
        <v>1</v>
      </c>
      <c r="G6" s="31" t="s">
        <v>407</v>
      </c>
      <c r="I6" s="27" t="s">
        <v>179</v>
      </c>
      <c r="J6" s="72"/>
      <c r="M6" s="10" t="s">
        <v>76</v>
      </c>
      <c r="N6" s="10" t="s">
        <v>87</v>
      </c>
      <c r="O6" s="28" t="s">
        <v>94</v>
      </c>
      <c r="P6" s="10" t="s">
        <v>96</v>
      </c>
      <c r="Q6" s="10" t="s">
        <v>99</v>
      </c>
    </row>
    <row r="7" spans="1:18" x14ac:dyDescent="0.3">
      <c r="A7" s="31" t="s">
        <v>1</v>
      </c>
      <c r="B7" s="39">
        <v>5</v>
      </c>
      <c r="C7" s="27" t="str">
        <f t="shared" si="0"/>
        <v>END_EFF_DT (PK)</v>
      </c>
      <c r="D7" s="31" t="s">
        <v>49</v>
      </c>
      <c r="E7" s="39">
        <v>2</v>
      </c>
      <c r="G7" s="31" t="s">
        <v>407</v>
      </c>
      <c r="I7" s="27" t="s">
        <v>180</v>
      </c>
      <c r="J7" s="72"/>
      <c r="M7" s="10" t="s">
        <v>77</v>
      </c>
      <c r="N7" s="10" t="s">
        <v>130</v>
      </c>
      <c r="O7" s="28" t="s">
        <v>147</v>
      </c>
      <c r="P7" s="10" t="s">
        <v>97</v>
      </c>
      <c r="Q7" s="10" t="s">
        <v>100</v>
      </c>
    </row>
    <row r="8" spans="1:18" x14ac:dyDescent="0.3">
      <c r="A8" s="31" t="s">
        <v>1</v>
      </c>
      <c r="B8" s="39">
        <v>6</v>
      </c>
      <c r="C8" s="27" t="str">
        <f t="shared" si="0"/>
        <v>END_EXP_DT</v>
      </c>
      <c r="D8" s="31" t="s">
        <v>49</v>
      </c>
      <c r="E8" s="39">
        <v>2</v>
      </c>
      <c r="G8" s="31" t="s">
        <v>407</v>
      </c>
      <c r="I8" s="27" t="s">
        <v>168</v>
      </c>
      <c r="J8" s="72"/>
      <c r="M8" s="10" t="s">
        <v>78</v>
      </c>
      <c r="N8" s="10" t="s">
        <v>131</v>
      </c>
      <c r="O8" s="28" t="s">
        <v>26</v>
      </c>
      <c r="P8" s="10" t="s">
        <v>97</v>
      </c>
      <c r="Q8" s="10" t="s">
        <v>100</v>
      </c>
    </row>
    <row r="9" spans="1:18" ht="27.6" x14ac:dyDescent="0.3">
      <c r="A9" s="31" t="s">
        <v>1</v>
      </c>
      <c r="B9" s="39">
        <v>7</v>
      </c>
      <c r="C9" s="27" t="str">
        <f t="shared" si="0"/>
        <v>SOURCE_SYSTEM</v>
      </c>
      <c r="D9" s="31" t="s">
        <v>50</v>
      </c>
      <c r="E9" s="39" t="s">
        <v>175</v>
      </c>
      <c r="G9" s="31" t="s">
        <v>407</v>
      </c>
      <c r="I9" s="40" t="s">
        <v>181</v>
      </c>
      <c r="J9" s="72"/>
      <c r="M9" s="10" t="s">
        <v>166</v>
      </c>
      <c r="N9" s="10" t="s">
        <v>90</v>
      </c>
      <c r="O9" s="28" t="s">
        <v>27</v>
      </c>
      <c r="P9" s="10" t="s">
        <v>27</v>
      </c>
      <c r="Q9" s="10" t="s">
        <v>101</v>
      </c>
    </row>
    <row r="10" spans="1:18" x14ac:dyDescent="0.3">
      <c r="A10" s="31" t="s">
        <v>1</v>
      </c>
      <c r="B10" s="39">
        <v>8</v>
      </c>
      <c r="C10" s="27" t="str">
        <f t="shared" si="0"/>
        <v>CVRBL_TYPE_CD</v>
      </c>
      <c r="D10" s="31" t="s">
        <v>45</v>
      </c>
      <c r="E10" s="39">
        <v>2</v>
      </c>
      <c r="G10" s="31" t="s">
        <v>407</v>
      </c>
      <c r="I10" s="27" t="s">
        <v>182</v>
      </c>
      <c r="J10" s="72"/>
      <c r="M10" s="10" t="s">
        <v>80</v>
      </c>
      <c r="N10" s="10" t="s">
        <v>91</v>
      </c>
      <c r="O10" s="28" t="s">
        <v>28</v>
      </c>
      <c r="P10" s="10" t="s">
        <v>98</v>
      </c>
      <c r="Q10" s="10" t="s">
        <v>102</v>
      </c>
    </row>
    <row r="11" spans="1:18" x14ac:dyDescent="0.3">
      <c r="A11" s="31" t="s">
        <v>1</v>
      </c>
      <c r="B11" s="39">
        <v>9</v>
      </c>
      <c r="C11" s="27" t="str">
        <f t="shared" si="0"/>
        <v>PREFD_COVG_CURR_CD</v>
      </c>
      <c r="D11" s="31" t="s">
        <v>45</v>
      </c>
      <c r="E11" s="39">
        <v>2</v>
      </c>
      <c r="G11" s="31" t="s">
        <v>407</v>
      </c>
      <c r="I11" s="27" t="s">
        <v>183</v>
      </c>
      <c r="J11" s="72"/>
      <c r="M11" s="10" t="s">
        <v>80</v>
      </c>
      <c r="N11" s="10" t="s">
        <v>132</v>
      </c>
      <c r="O11" s="28" t="s">
        <v>29</v>
      </c>
      <c r="P11" s="10" t="s">
        <v>98</v>
      </c>
      <c r="Q11" s="10" t="s">
        <v>102</v>
      </c>
    </row>
    <row r="12" spans="1:18" s="59" customFormat="1" x14ac:dyDescent="0.3">
      <c r="A12" s="59" t="s">
        <v>1</v>
      </c>
      <c r="B12" s="59">
        <v>10</v>
      </c>
      <c r="C12" s="60" t="s">
        <v>30</v>
      </c>
      <c r="G12" s="59" t="s">
        <v>407</v>
      </c>
      <c r="I12" s="60"/>
      <c r="J12" s="72"/>
      <c r="M12" s="61"/>
      <c r="N12" s="61"/>
      <c r="O12" s="62"/>
      <c r="P12" s="61"/>
      <c r="Q12" s="61"/>
    </row>
    <row r="13" spans="1:18" ht="27.6" x14ac:dyDescent="0.3">
      <c r="B13" s="39">
        <v>10</v>
      </c>
      <c r="C13" s="28" t="str">
        <f t="shared" si="0"/>
        <v>BL_BP_LOC_KEY (FK)</v>
      </c>
      <c r="D13" s="10" t="s">
        <v>405</v>
      </c>
      <c r="E13" s="57">
        <v>2</v>
      </c>
      <c r="F13" s="10"/>
      <c r="G13" s="10" t="s">
        <v>407</v>
      </c>
      <c r="H13" s="10"/>
      <c r="I13" s="58" t="s">
        <v>403</v>
      </c>
      <c r="J13" s="72"/>
      <c r="M13" s="10" t="s">
        <v>76</v>
      </c>
      <c r="N13" s="10" t="s">
        <v>349</v>
      </c>
      <c r="O13" s="28" t="s">
        <v>326</v>
      </c>
      <c r="P13" s="10" t="s">
        <v>96</v>
      </c>
      <c r="Q13" s="10" t="s">
        <v>99</v>
      </c>
    </row>
    <row r="14" spans="1:18" ht="27.6" x14ac:dyDescent="0.3">
      <c r="B14" s="39">
        <v>11</v>
      </c>
      <c r="C14" s="28" t="str">
        <f t="shared" si="0"/>
        <v>BL_BLDG_KEY (FK)</v>
      </c>
      <c r="D14" s="10" t="s">
        <v>405</v>
      </c>
      <c r="E14" s="57">
        <v>2</v>
      </c>
      <c r="F14" s="10"/>
      <c r="G14" s="10" t="s">
        <v>407</v>
      </c>
      <c r="H14" s="10"/>
      <c r="I14" s="28" t="s">
        <v>404</v>
      </c>
      <c r="J14" s="72"/>
      <c r="M14" s="10" t="s">
        <v>76</v>
      </c>
      <c r="N14" s="10" t="s">
        <v>350</v>
      </c>
      <c r="O14" s="28" t="s">
        <v>327</v>
      </c>
      <c r="P14" s="10" t="s">
        <v>96</v>
      </c>
      <c r="Q14" s="10" t="s">
        <v>99</v>
      </c>
    </row>
    <row r="15" spans="1:18" x14ac:dyDescent="0.3">
      <c r="B15" s="39">
        <v>12</v>
      </c>
      <c r="C15" s="28" t="str">
        <f t="shared" si="0"/>
        <v>BL_BASEMENT_PRESENT</v>
      </c>
      <c r="D15" s="10" t="s">
        <v>406</v>
      </c>
      <c r="E15" s="57">
        <v>2</v>
      </c>
      <c r="F15" s="10"/>
      <c r="G15" s="10" t="s">
        <v>407</v>
      </c>
      <c r="H15" s="10"/>
      <c r="I15" s="28" t="s">
        <v>374</v>
      </c>
      <c r="J15" s="72"/>
      <c r="M15" s="10" t="s">
        <v>80</v>
      </c>
      <c r="N15" s="10" t="s">
        <v>351</v>
      </c>
      <c r="O15" s="28" t="s">
        <v>328</v>
      </c>
      <c r="P15" s="10" t="s">
        <v>275</v>
      </c>
      <c r="Q15" s="10" t="s">
        <v>102</v>
      </c>
    </row>
    <row r="16" spans="1:18" x14ac:dyDescent="0.3">
      <c r="B16" s="39">
        <v>13</v>
      </c>
      <c r="C16" s="28" t="str">
        <f t="shared" si="0"/>
        <v>BL_BLDG_CD_EFF_GRADE</v>
      </c>
      <c r="D16" s="10" t="s">
        <v>406</v>
      </c>
      <c r="E16" s="57">
        <v>2</v>
      </c>
      <c r="F16" s="10"/>
      <c r="G16" s="10" t="s">
        <v>407</v>
      </c>
      <c r="H16" s="10"/>
      <c r="I16" s="28" t="s">
        <v>375</v>
      </c>
      <c r="J16" s="72"/>
      <c r="M16" s="10" t="s">
        <v>80</v>
      </c>
      <c r="N16" s="10" t="s">
        <v>352</v>
      </c>
      <c r="O16" s="28" t="s">
        <v>329</v>
      </c>
      <c r="P16" s="10" t="s">
        <v>275</v>
      </c>
      <c r="Q16" s="10" t="s">
        <v>102</v>
      </c>
    </row>
    <row r="17" spans="2:17" x14ac:dyDescent="0.3">
      <c r="B17" s="39">
        <v>14</v>
      </c>
      <c r="C17" s="28" t="str">
        <f t="shared" si="0"/>
        <v>BL_BLDG_CD_EFF_GRADE_CL</v>
      </c>
      <c r="D17" s="10" t="s">
        <v>406</v>
      </c>
      <c r="E17" s="57">
        <v>2</v>
      </c>
      <c r="F17" s="10"/>
      <c r="G17" s="10" t="s">
        <v>407</v>
      </c>
      <c r="H17" s="10"/>
      <c r="I17" s="28" t="s">
        <v>376</v>
      </c>
      <c r="J17" s="72"/>
      <c r="M17" s="10" t="s">
        <v>80</v>
      </c>
      <c r="N17" s="10" t="s">
        <v>353</v>
      </c>
      <c r="O17" s="28" t="s">
        <v>330</v>
      </c>
      <c r="P17" s="10" t="s">
        <v>275</v>
      </c>
      <c r="Q17" s="10" t="s">
        <v>102</v>
      </c>
    </row>
    <row r="18" spans="2:17" x14ac:dyDescent="0.3">
      <c r="B18" s="39">
        <v>15</v>
      </c>
      <c r="C18" s="28" t="str">
        <f t="shared" si="0"/>
        <v>BL_BLKT_ID_NO</v>
      </c>
      <c r="D18" s="10" t="s">
        <v>197</v>
      </c>
      <c r="E18" s="57">
        <v>2</v>
      </c>
      <c r="F18" s="10"/>
      <c r="G18" s="10" t="s">
        <v>407</v>
      </c>
      <c r="H18" s="10"/>
      <c r="I18" s="28" t="s">
        <v>377</v>
      </c>
      <c r="J18" s="72"/>
      <c r="M18" s="10" t="s">
        <v>81</v>
      </c>
      <c r="N18" s="10" t="s">
        <v>200</v>
      </c>
      <c r="O18" s="28" t="s">
        <v>331</v>
      </c>
      <c r="P18" s="10" t="s">
        <v>274</v>
      </c>
      <c r="Q18" s="10" t="s">
        <v>276</v>
      </c>
    </row>
    <row r="19" spans="2:17" x14ac:dyDescent="0.3">
      <c r="B19" s="39">
        <v>16</v>
      </c>
      <c r="C19" s="28" t="str">
        <f t="shared" si="0"/>
        <v>BL_CERTIFICATE_LEVEL</v>
      </c>
      <c r="D19" s="10" t="s">
        <v>406</v>
      </c>
      <c r="E19" s="57">
        <v>2</v>
      </c>
      <c r="F19" s="10"/>
      <c r="G19" s="10" t="s">
        <v>407</v>
      </c>
      <c r="H19" s="10"/>
      <c r="I19" s="28" t="s">
        <v>378</v>
      </c>
      <c r="J19" s="72"/>
      <c r="M19" s="10" t="s">
        <v>80</v>
      </c>
      <c r="N19" s="10" t="s">
        <v>354</v>
      </c>
      <c r="O19" s="28" t="s">
        <v>332</v>
      </c>
      <c r="P19" s="10" t="s">
        <v>275</v>
      </c>
      <c r="Q19" s="10" t="s">
        <v>102</v>
      </c>
    </row>
    <row r="20" spans="2:17" x14ac:dyDescent="0.3">
      <c r="B20" s="39">
        <v>17</v>
      </c>
      <c r="C20" s="28" t="str">
        <f t="shared" si="0"/>
        <v>BL_CONSTR_TYPE</v>
      </c>
      <c r="D20" s="10" t="s">
        <v>406</v>
      </c>
      <c r="E20" s="57">
        <v>2</v>
      </c>
      <c r="F20" s="10"/>
      <c r="G20" s="10" t="s">
        <v>407</v>
      </c>
      <c r="H20" s="10"/>
      <c r="I20" s="28" t="s">
        <v>379</v>
      </c>
      <c r="J20" s="72"/>
      <c r="M20" s="10" t="s">
        <v>80</v>
      </c>
      <c r="N20" s="10" t="s">
        <v>355</v>
      </c>
      <c r="O20" s="28" t="s">
        <v>333</v>
      </c>
      <c r="P20" s="10" t="s">
        <v>275</v>
      </c>
      <c r="Q20" s="10" t="s">
        <v>102</v>
      </c>
    </row>
    <row r="21" spans="2:17" x14ac:dyDescent="0.3">
      <c r="B21" s="39">
        <v>18</v>
      </c>
      <c r="C21" s="28" t="str">
        <f t="shared" si="0"/>
        <v>BL_TEXT</v>
      </c>
      <c r="D21" s="10" t="s">
        <v>406</v>
      </c>
      <c r="E21" s="57">
        <v>2</v>
      </c>
      <c r="F21" s="10"/>
      <c r="G21" s="10" t="s">
        <v>407</v>
      </c>
      <c r="H21" s="10"/>
      <c r="I21" s="28" t="s">
        <v>380</v>
      </c>
      <c r="J21" s="72"/>
      <c r="M21" s="10" t="s">
        <v>80</v>
      </c>
      <c r="N21" s="10" t="s">
        <v>356</v>
      </c>
      <c r="O21" s="28" t="s">
        <v>334</v>
      </c>
      <c r="P21" s="10" t="s">
        <v>275</v>
      </c>
      <c r="Q21" s="10" t="s">
        <v>102</v>
      </c>
    </row>
    <row r="22" spans="2:17" x14ac:dyDescent="0.3">
      <c r="B22" s="39">
        <v>19</v>
      </c>
      <c r="C22" s="28" t="str">
        <f t="shared" si="0"/>
        <v>BL_IBHS_CERTIFICATE_TYPE</v>
      </c>
      <c r="D22" s="10" t="s">
        <v>406</v>
      </c>
      <c r="E22" s="57">
        <v>2</v>
      </c>
      <c r="F22" s="10"/>
      <c r="G22" s="10" t="s">
        <v>407</v>
      </c>
      <c r="H22" s="10"/>
      <c r="I22" s="28" t="s">
        <v>381</v>
      </c>
      <c r="J22" s="72"/>
      <c r="M22" s="10" t="s">
        <v>80</v>
      </c>
      <c r="N22" s="10" t="s">
        <v>357</v>
      </c>
      <c r="O22" s="28" t="s">
        <v>335</v>
      </c>
      <c r="P22" s="10" t="s">
        <v>275</v>
      </c>
      <c r="Q22" s="10" t="s">
        <v>102</v>
      </c>
    </row>
    <row r="23" spans="2:17" x14ac:dyDescent="0.3">
      <c r="B23" s="39">
        <v>20</v>
      </c>
      <c r="C23" s="28" t="str">
        <f t="shared" si="0"/>
        <v>BL_IS_IT_FINISHED</v>
      </c>
      <c r="D23" s="10" t="s">
        <v>406</v>
      </c>
      <c r="E23" s="57">
        <v>2</v>
      </c>
      <c r="F23" s="10"/>
      <c r="G23" s="10" t="s">
        <v>407</v>
      </c>
      <c r="H23" s="10"/>
      <c r="I23" s="28" t="s">
        <v>382</v>
      </c>
      <c r="J23" s="72"/>
      <c r="M23" s="10" t="s">
        <v>80</v>
      </c>
      <c r="N23" s="10" t="s">
        <v>358</v>
      </c>
      <c r="O23" s="28" t="s">
        <v>336</v>
      </c>
      <c r="P23" s="10" t="s">
        <v>275</v>
      </c>
      <c r="Q23" s="10" t="s">
        <v>102</v>
      </c>
    </row>
    <row r="24" spans="2:17" x14ac:dyDescent="0.3">
      <c r="B24" s="39">
        <v>21</v>
      </c>
      <c r="C24" s="28" t="str">
        <f t="shared" si="0"/>
        <v>BL_NO_OF_STORIES</v>
      </c>
      <c r="D24" s="10" t="s">
        <v>197</v>
      </c>
      <c r="E24" s="57">
        <v>2</v>
      </c>
      <c r="F24" s="10"/>
      <c r="G24" s="10" t="s">
        <v>407</v>
      </c>
      <c r="H24" s="10"/>
      <c r="I24" s="28" t="s">
        <v>383</v>
      </c>
      <c r="J24" s="72"/>
      <c r="M24" s="10" t="s">
        <v>81</v>
      </c>
      <c r="N24" s="10" t="s">
        <v>359</v>
      </c>
      <c r="O24" s="28" t="s">
        <v>337</v>
      </c>
      <c r="P24" s="10" t="s">
        <v>274</v>
      </c>
      <c r="Q24" s="10" t="s">
        <v>276</v>
      </c>
    </row>
    <row r="25" spans="2:17" x14ac:dyDescent="0.3">
      <c r="B25" s="39">
        <v>22</v>
      </c>
      <c r="C25" s="28" t="str">
        <f t="shared" si="0"/>
        <v>BL_PCT_OWNER_OCCUPIED</v>
      </c>
      <c r="D25" s="10" t="s">
        <v>406</v>
      </c>
      <c r="E25" s="57">
        <v>2</v>
      </c>
      <c r="F25" s="10"/>
      <c r="G25" s="10" t="s">
        <v>407</v>
      </c>
      <c r="H25" s="10"/>
      <c r="I25" s="28" t="s">
        <v>384</v>
      </c>
      <c r="J25" s="72"/>
      <c r="M25" s="10" t="s">
        <v>80</v>
      </c>
      <c r="N25" s="10" t="s">
        <v>360</v>
      </c>
      <c r="O25" s="28" t="s">
        <v>338</v>
      </c>
      <c r="P25" s="10" t="s">
        <v>275</v>
      </c>
      <c r="Q25" s="10" t="s">
        <v>102</v>
      </c>
    </row>
    <row r="26" spans="2:17" ht="41.4" x14ac:dyDescent="0.3">
      <c r="B26" s="39">
        <v>23</v>
      </c>
      <c r="C26" s="28" t="str">
        <f t="shared" si="0"/>
        <v>BL_PREDOMINANTLY_RESIDENTIAL_AND_FOUR_OR_LESS_UNITS</v>
      </c>
      <c r="D26" s="10" t="s">
        <v>406</v>
      </c>
      <c r="E26" s="57">
        <v>2</v>
      </c>
      <c r="F26" s="10"/>
      <c r="G26" s="10" t="s">
        <v>407</v>
      </c>
      <c r="H26" s="10"/>
      <c r="I26" s="28" t="s">
        <v>385</v>
      </c>
      <c r="J26" s="72"/>
      <c r="M26" s="10" t="s">
        <v>80</v>
      </c>
      <c r="N26" s="10" t="s">
        <v>361</v>
      </c>
      <c r="O26" s="28" t="s">
        <v>339</v>
      </c>
      <c r="P26" s="10" t="s">
        <v>275</v>
      </c>
      <c r="Q26" s="10" t="s">
        <v>102</v>
      </c>
    </row>
    <row r="27" spans="2:17" x14ac:dyDescent="0.3">
      <c r="B27" s="39">
        <v>24</v>
      </c>
      <c r="C27" s="28" t="str">
        <f t="shared" si="0"/>
        <v>BL_PROP_TYPE</v>
      </c>
      <c r="D27" s="10" t="s">
        <v>406</v>
      </c>
      <c r="E27" s="57">
        <v>2</v>
      </c>
      <c r="F27" s="10"/>
      <c r="G27" s="10" t="s">
        <v>407</v>
      </c>
      <c r="H27" s="10"/>
      <c r="I27" s="28" t="s">
        <v>386</v>
      </c>
      <c r="J27" s="72"/>
      <c r="M27" s="10" t="s">
        <v>80</v>
      </c>
      <c r="N27" s="10" t="s">
        <v>362</v>
      </c>
      <c r="O27" s="28" t="s">
        <v>340</v>
      </c>
      <c r="P27" s="10" t="s">
        <v>275</v>
      </c>
      <c r="Q27" s="10" t="s">
        <v>102</v>
      </c>
    </row>
    <row r="28" spans="2:17" x14ac:dyDescent="0.3">
      <c r="B28" s="39">
        <v>25</v>
      </c>
      <c r="C28" s="28" t="str">
        <f t="shared" si="0"/>
        <v>BL_RABOP_TYPE</v>
      </c>
      <c r="D28" s="10" t="s">
        <v>406</v>
      </c>
      <c r="E28" s="57">
        <v>2</v>
      </c>
      <c r="F28" s="10"/>
      <c r="G28" s="10" t="s">
        <v>407</v>
      </c>
      <c r="H28" s="10"/>
      <c r="I28" s="28" t="s">
        <v>387</v>
      </c>
      <c r="J28" s="72"/>
      <c r="M28" s="10" t="s">
        <v>80</v>
      </c>
      <c r="N28" s="10" t="s">
        <v>213</v>
      </c>
      <c r="O28" s="28" t="s">
        <v>341</v>
      </c>
      <c r="P28" s="10" t="s">
        <v>275</v>
      </c>
      <c r="Q28" s="10" t="s">
        <v>102</v>
      </c>
    </row>
    <row r="29" spans="2:17" ht="27.6" x14ac:dyDescent="0.3">
      <c r="B29" s="39">
        <v>26</v>
      </c>
      <c r="C29" s="28" t="str">
        <f t="shared" si="0"/>
        <v>BL_RABOP_TYPE_LIAB_LESSORS</v>
      </c>
      <c r="D29" s="10" t="s">
        <v>406</v>
      </c>
      <c r="E29" s="57">
        <v>2</v>
      </c>
      <c r="F29" s="10"/>
      <c r="G29" s="10" t="s">
        <v>407</v>
      </c>
      <c r="H29" s="10"/>
      <c r="I29" s="28" t="s">
        <v>388</v>
      </c>
      <c r="J29" s="72"/>
      <c r="M29" s="10" t="s">
        <v>80</v>
      </c>
      <c r="N29" s="10" t="s">
        <v>363</v>
      </c>
      <c r="O29" s="28" t="s">
        <v>342</v>
      </c>
      <c r="P29" s="10" t="s">
        <v>275</v>
      </c>
      <c r="Q29" s="10" t="s">
        <v>102</v>
      </c>
    </row>
    <row r="30" spans="2:17" x14ac:dyDescent="0.3">
      <c r="B30" s="39">
        <v>27</v>
      </c>
      <c r="C30" s="28" t="str">
        <f t="shared" si="0"/>
        <v>BL_RABOP_WANTED</v>
      </c>
      <c r="D30" s="10" t="s">
        <v>406</v>
      </c>
      <c r="E30" s="57">
        <v>2</v>
      </c>
      <c r="F30" s="10"/>
      <c r="G30" s="10" t="s">
        <v>407</v>
      </c>
      <c r="H30" s="10"/>
      <c r="I30" s="28" t="s">
        <v>389</v>
      </c>
      <c r="J30" s="72"/>
      <c r="M30" s="10" t="s">
        <v>80</v>
      </c>
      <c r="N30" s="10" t="s">
        <v>215</v>
      </c>
      <c r="O30" s="28" t="s">
        <v>343</v>
      </c>
      <c r="P30" s="10" t="s">
        <v>275</v>
      </c>
      <c r="Q30" s="10" t="s">
        <v>102</v>
      </c>
    </row>
    <row r="31" spans="2:17" x14ac:dyDescent="0.3">
      <c r="B31" s="39">
        <v>28</v>
      </c>
      <c r="C31" s="28" t="str">
        <f t="shared" si="0"/>
        <v>BL_ROOF_TYPE</v>
      </c>
      <c r="D31" s="10" t="s">
        <v>406</v>
      </c>
      <c r="E31" s="57">
        <v>2</v>
      </c>
      <c r="F31" s="10"/>
      <c r="G31" s="10" t="s">
        <v>407</v>
      </c>
      <c r="H31" s="10"/>
      <c r="I31" s="28" t="s">
        <v>390</v>
      </c>
      <c r="J31" s="72"/>
      <c r="M31" s="10" t="s">
        <v>80</v>
      </c>
      <c r="N31" s="10" t="s">
        <v>364</v>
      </c>
      <c r="O31" s="28" t="s">
        <v>344</v>
      </c>
      <c r="P31" s="10" t="s">
        <v>275</v>
      </c>
      <c r="Q31" s="10" t="s">
        <v>102</v>
      </c>
    </row>
    <row r="32" spans="2:17" x14ac:dyDescent="0.3">
      <c r="B32" s="39">
        <v>29</v>
      </c>
      <c r="C32" s="28" t="str">
        <f t="shared" si="0"/>
        <v>BL_SPRINKLERED</v>
      </c>
      <c r="D32" s="10" t="s">
        <v>406</v>
      </c>
      <c r="E32" s="57">
        <v>2</v>
      </c>
      <c r="F32" s="10"/>
      <c r="G32" s="10" t="s">
        <v>407</v>
      </c>
      <c r="H32" s="10"/>
      <c r="I32" s="28" t="s">
        <v>391</v>
      </c>
      <c r="J32" s="72"/>
      <c r="M32" s="10" t="s">
        <v>80</v>
      </c>
      <c r="N32" s="10" t="s">
        <v>365</v>
      </c>
      <c r="O32" s="28" t="s">
        <v>345</v>
      </c>
      <c r="P32" s="10" t="s">
        <v>275</v>
      </c>
      <c r="Q32" s="10" t="s">
        <v>102</v>
      </c>
    </row>
    <row r="33" spans="2:17" ht="27.6" x14ac:dyDescent="0.3">
      <c r="B33" s="39">
        <v>30</v>
      </c>
      <c r="C33" s="28" t="str">
        <f t="shared" si="0"/>
        <v>BL_TOT_CONDOMINIUM_BLDG_SQUARE_FOOTAGE</v>
      </c>
      <c r="D33" s="10" t="s">
        <v>197</v>
      </c>
      <c r="E33" s="57">
        <v>2</v>
      </c>
      <c r="F33" s="10"/>
      <c r="G33" s="10" t="s">
        <v>407</v>
      </c>
      <c r="H33" s="10"/>
      <c r="I33" s="28" t="s">
        <v>392</v>
      </c>
      <c r="J33" s="72"/>
      <c r="M33" s="10" t="s">
        <v>81</v>
      </c>
      <c r="N33" s="10" t="s">
        <v>366</v>
      </c>
      <c r="O33" s="28" t="s">
        <v>346</v>
      </c>
      <c r="P33" s="10" t="s">
        <v>274</v>
      </c>
      <c r="Q33" s="10" t="s">
        <v>276</v>
      </c>
    </row>
    <row r="34" spans="2:17" x14ac:dyDescent="0.3">
      <c r="B34" s="39">
        <v>31</v>
      </c>
      <c r="C34" s="28" t="str">
        <f t="shared" si="0"/>
        <v>BL_WIND_CL</v>
      </c>
      <c r="D34" s="10" t="s">
        <v>406</v>
      </c>
      <c r="E34" s="57">
        <v>2</v>
      </c>
      <c r="F34" s="10"/>
      <c r="G34" s="10" t="s">
        <v>407</v>
      </c>
      <c r="H34" s="10"/>
      <c r="I34" s="28" t="s">
        <v>393</v>
      </c>
      <c r="J34" s="72"/>
      <c r="M34" s="10" t="s">
        <v>80</v>
      </c>
      <c r="N34" s="10" t="s">
        <v>367</v>
      </c>
      <c r="O34" s="28" t="s">
        <v>347</v>
      </c>
      <c r="P34" s="10" t="s">
        <v>275</v>
      </c>
      <c r="Q34" s="10" t="s">
        <v>102</v>
      </c>
    </row>
    <row r="35" spans="2:17" ht="27.6" x14ac:dyDescent="0.3">
      <c r="B35" s="39">
        <v>32</v>
      </c>
      <c r="C35" s="28" t="str">
        <f t="shared" si="0"/>
        <v>BL_WINDSTORM_MITIGATION_DISC_APPLIES</v>
      </c>
      <c r="D35" s="10" t="s">
        <v>406</v>
      </c>
      <c r="E35" s="57">
        <v>2</v>
      </c>
      <c r="F35" s="10"/>
      <c r="G35" s="10" t="s">
        <v>407</v>
      </c>
      <c r="H35" s="10"/>
      <c r="I35" s="28" t="s">
        <v>394</v>
      </c>
      <c r="J35" s="72"/>
      <c r="M35" s="10" t="s">
        <v>80</v>
      </c>
      <c r="N35" s="10" t="s">
        <v>368</v>
      </c>
      <c r="O35" s="28" t="s">
        <v>318</v>
      </c>
      <c r="P35" s="10" t="s">
        <v>275</v>
      </c>
      <c r="Q35" s="10" t="s">
        <v>102</v>
      </c>
    </row>
    <row r="36" spans="2:17" x14ac:dyDescent="0.3">
      <c r="B36" s="39">
        <v>33</v>
      </c>
      <c r="C36" s="28" t="str">
        <f t="shared" si="0"/>
        <v>BL_YR_HEATING_REPLACED</v>
      </c>
      <c r="D36" s="10" t="s">
        <v>197</v>
      </c>
      <c r="E36" s="57">
        <v>2</v>
      </c>
      <c r="F36" s="10"/>
      <c r="G36" s="10" t="s">
        <v>407</v>
      </c>
      <c r="H36" s="10"/>
      <c r="I36" s="28" t="s">
        <v>395</v>
      </c>
      <c r="J36" s="72"/>
      <c r="M36" s="10" t="s">
        <v>82</v>
      </c>
      <c r="N36" s="10" t="s">
        <v>369</v>
      </c>
      <c r="O36" s="28" t="s">
        <v>319</v>
      </c>
      <c r="P36" s="10" t="s">
        <v>274</v>
      </c>
      <c r="Q36" s="10" t="s">
        <v>276</v>
      </c>
    </row>
    <row r="37" spans="2:17" x14ac:dyDescent="0.3">
      <c r="B37" s="39">
        <v>34</v>
      </c>
      <c r="C37" s="28" t="str">
        <f t="shared" si="0"/>
        <v>BL_YR_OF_CONSTR</v>
      </c>
      <c r="D37" s="10" t="s">
        <v>197</v>
      </c>
      <c r="E37" s="57">
        <v>2</v>
      </c>
      <c r="F37" s="10"/>
      <c r="G37" s="10" t="s">
        <v>407</v>
      </c>
      <c r="H37" s="10"/>
      <c r="I37" s="28" t="s">
        <v>396</v>
      </c>
      <c r="J37" s="72"/>
      <c r="M37" s="10" t="s">
        <v>82</v>
      </c>
      <c r="N37" s="10" t="s">
        <v>370</v>
      </c>
      <c r="O37" s="28" t="s">
        <v>320</v>
      </c>
      <c r="P37" s="10" t="s">
        <v>274</v>
      </c>
      <c r="Q37" s="10" t="s">
        <v>276</v>
      </c>
    </row>
    <row r="38" spans="2:17" x14ac:dyDescent="0.3">
      <c r="B38" s="39">
        <v>35</v>
      </c>
      <c r="C38" s="28" t="str">
        <f t="shared" si="0"/>
        <v>BL_YR_PLUMBING_REPLACED</v>
      </c>
      <c r="D38" s="10" t="s">
        <v>197</v>
      </c>
      <c r="E38" s="57">
        <v>2</v>
      </c>
      <c r="F38" s="10"/>
      <c r="G38" s="10" t="s">
        <v>407</v>
      </c>
      <c r="H38" s="10"/>
      <c r="I38" s="28" t="s">
        <v>397</v>
      </c>
      <c r="J38" s="72"/>
      <c r="M38" s="10" t="s">
        <v>82</v>
      </c>
      <c r="N38" s="10" t="s">
        <v>371</v>
      </c>
      <c r="O38" s="28" t="s">
        <v>321</v>
      </c>
      <c r="P38" s="10" t="s">
        <v>274</v>
      </c>
      <c r="Q38" s="10" t="s">
        <v>276</v>
      </c>
    </row>
    <row r="39" spans="2:17" x14ac:dyDescent="0.3">
      <c r="B39" s="39">
        <v>36</v>
      </c>
      <c r="C39" s="28" t="str">
        <f t="shared" si="0"/>
        <v>BL_YR_ROOFING_REPLACED</v>
      </c>
      <c r="D39" s="10" t="s">
        <v>197</v>
      </c>
      <c r="E39" s="57">
        <v>2</v>
      </c>
      <c r="F39" s="10"/>
      <c r="G39" s="10" t="s">
        <v>407</v>
      </c>
      <c r="H39" s="10"/>
      <c r="I39" s="28" t="s">
        <v>398</v>
      </c>
      <c r="J39" s="72"/>
      <c r="M39" s="10" t="s">
        <v>82</v>
      </c>
      <c r="N39" s="10" t="s">
        <v>372</v>
      </c>
      <c r="O39" s="28" t="s">
        <v>322</v>
      </c>
      <c r="P39" s="10" t="s">
        <v>274</v>
      </c>
      <c r="Q39" s="10" t="s">
        <v>276</v>
      </c>
    </row>
    <row r="40" spans="2:17" x14ac:dyDescent="0.3">
      <c r="B40" s="39">
        <v>37</v>
      </c>
      <c r="C40" s="28" t="str">
        <f t="shared" si="0"/>
        <v>BL_YR_WIRING_REPLACED</v>
      </c>
      <c r="D40" s="10" t="s">
        <v>197</v>
      </c>
      <c r="E40" s="57">
        <v>2</v>
      </c>
      <c r="F40" s="10"/>
      <c r="G40" s="10" t="s">
        <v>407</v>
      </c>
      <c r="H40" s="10"/>
      <c r="I40" s="28" t="s">
        <v>399</v>
      </c>
      <c r="J40" s="72"/>
      <c r="M40" s="10" t="s">
        <v>82</v>
      </c>
      <c r="N40" s="10" t="s">
        <v>373</v>
      </c>
      <c r="O40" s="28" t="s">
        <v>323</v>
      </c>
      <c r="P40" s="10" t="s">
        <v>274</v>
      </c>
      <c r="Q40" s="10" t="s">
        <v>276</v>
      </c>
    </row>
    <row r="41" spans="2:17" ht="27.6" x14ac:dyDescent="0.3">
      <c r="B41" s="39">
        <v>38</v>
      </c>
      <c r="C41" s="28" t="str">
        <f t="shared" si="0"/>
        <v>BL_BUILDING_TOTAL_SQUARE_FEET</v>
      </c>
      <c r="D41" s="10" t="s">
        <v>197</v>
      </c>
      <c r="E41" s="57">
        <v>2</v>
      </c>
      <c r="F41" s="10"/>
      <c r="G41" s="10" t="s">
        <v>407</v>
      </c>
      <c r="H41" s="10"/>
      <c r="I41" s="28" t="s">
        <v>400</v>
      </c>
      <c r="J41" s="72"/>
      <c r="M41" s="10" t="s">
        <v>233</v>
      </c>
      <c r="N41" s="10"/>
      <c r="O41" s="28" t="s">
        <v>324</v>
      </c>
      <c r="P41" s="10" t="s">
        <v>274</v>
      </c>
      <c r="Q41" s="10" t="s">
        <v>276</v>
      </c>
    </row>
    <row r="42" spans="2:17" ht="27.6" x14ac:dyDescent="0.3">
      <c r="B42" s="39">
        <v>39</v>
      </c>
      <c r="C42" s="28" t="str">
        <f t="shared" si="0"/>
        <v>BL_INSURED_OCCUPIED_SQUARE_FEET</v>
      </c>
      <c r="D42" s="10" t="s">
        <v>197</v>
      </c>
      <c r="E42" s="57">
        <v>2</v>
      </c>
      <c r="F42" s="10"/>
      <c r="G42" s="10" t="s">
        <v>407</v>
      </c>
      <c r="H42" s="10"/>
      <c r="I42" s="28" t="s">
        <v>401</v>
      </c>
      <c r="J42" s="72"/>
      <c r="M42" s="10" t="s">
        <v>233</v>
      </c>
      <c r="N42" s="10"/>
      <c r="O42" s="28" t="s">
        <v>325</v>
      </c>
      <c r="P42" s="10" t="s">
        <v>274</v>
      </c>
      <c r="Q42" s="10" t="s">
        <v>276</v>
      </c>
    </row>
    <row r="43" spans="2:17" x14ac:dyDescent="0.3">
      <c r="B43" s="39">
        <v>40</v>
      </c>
      <c r="C43" s="28" t="str">
        <f t="shared" si="0"/>
        <v>BL_OCCUPANCY TYPE</v>
      </c>
      <c r="D43" s="10" t="s">
        <v>406</v>
      </c>
      <c r="E43" s="57">
        <v>2</v>
      </c>
      <c r="F43" s="10"/>
      <c r="G43" s="10" t="s">
        <v>407</v>
      </c>
      <c r="H43" s="10"/>
      <c r="I43" s="28" t="s">
        <v>402</v>
      </c>
      <c r="J43" s="72"/>
      <c r="M43" s="10" t="s">
        <v>80</v>
      </c>
      <c r="N43" s="10"/>
      <c r="O43" s="28" t="s">
        <v>348</v>
      </c>
      <c r="P43" s="10" t="s">
        <v>274</v>
      </c>
      <c r="Q43" s="10" t="s">
        <v>276</v>
      </c>
    </row>
    <row r="44" spans="2:17" x14ac:dyDescent="0.3">
      <c r="B44" s="39">
        <v>41</v>
      </c>
      <c r="C44" s="28" t="str">
        <f t="shared" si="0"/>
        <v>BL_BUILDING_ITV</v>
      </c>
      <c r="D44" s="10" t="s">
        <v>406</v>
      </c>
      <c r="E44" s="57">
        <v>2</v>
      </c>
      <c r="G44" s="10" t="s">
        <v>407</v>
      </c>
      <c r="I44" s="27" t="s">
        <v>1003</v>
      </c>
      <c r="J44" s="72"/>
      <c r="M44" s="10" t="s">
        <v>80</v>
      </c>
      <c r="N44" s="10"/>
      <c r="O44" s="28" t="s">
        <v>540</v>
      </c>
      <c r="P44" s="10" t="s">
        <v>98</v>
      </c>
      <c r="Q44" s="10" t="s">
        <v>102</v>
      </c>
    </row>
    <row r="45" spans="2:17" x14ac:dyDescent="0.3">
      <c r="B45" s="39">
        <v>42</v>
      </c>
      <c r="C45" s="28" t="str">
        <f t="shared" si="0"/>
        <v>BL_BUILDING_TOTAL_RCV</v>
      </c>
      <c r="D45" s="10" t="s">
        <v>197</v>
      </c>
      <c r="E45" s="57">
        <v>2</v>
      </c>
      <c r="G45" s="10" t="s">
        <v>407</v>
      </c>
      <c r="I45" s="27" t="s">
        <v>1004</v>
      </c>
      <c r="M45" s="10" t="s">
        <v>233</v>
      </c>
      <c r="N45" s="10"/>
      <c r="O45" s="28" t="s">
        <v>541</v>
      </c>
      <c r="P45" s="10" t="s">
        <v>274</v>
      </c>
      <c r="Q45" s="10" t="s">
        <v>276</v>
      </c>
    </row>
    <row r="46" spans="2:17" x14ac:dyDescent="0.3">
      <c r="B46" s="39">
        <v>43</v>
      </c>
      <c r="C46" s="28" t="str">
        <f t="shared" si="0"/>
        <v>BL_CE_BUILDING_TOTAL_RCV</v>
      </c>
      <c r="D46" s="10" t="s">
        <v>406</v>
      </c>
      <c r="E46" s="57">
        <v>2</v>
      </c>
      <c r="G46" s="10" t="s">
        <v>407</v>
      </c>
      <c r="I46" s="27" t="s">
        <v>1005</v>
      </c>
      <c r="M46" s="10" t="s">
        <v>80</v>
      </c>
      <c r="N46" s="10"/>
      <c r="O46" s="28" t="s">
        <v>542</v>
      </c>
      <c r="P46" s="10" t="s">
        <v>98</v>
      </c>
      <c r="Q46" s="10" t="s">
        <v>102</v>
      </c>
    </row>
    <row r="47" spans="2:17" x14ac:dyDescent="0.3">
      <c r="B47" s="39">
        <v>44</v>
      </c>
      <c r="C47" s="28" t="str">
        <f t="shared" si="0"/>
        <v>BL_ROOF_AGE</v>
      </c>
      <c r="D47" s="10" t="s">
        <v>406</v>
      </c>
      <c r="E47" s="57">
        <v>2</v>
      </c>
      <c r="G47" s="10" t="s">
        <v>407</v>
      </c>
      <c r="I47" s="27" t="s">
        <v>1019</v>
      </c>
      <c r="M47" s="10" t="s">
        <v>80</v>
      </c>
      <c r="N47" s="10" t="s">
        <v>427</v>
      </c>
      <c r="O47" s="28" t="s">
        <v>514</v>
      </c>
      <c r="P47" s="10" t="s">
        <v>275</v>
      </c>
      <c r="Q47" s="10" t="s">
        <v>102</v>
      </c>
    </row>
    <row r="48" spans="2:17" x14ac:dyDescent="0.3">
      <c r="B48" s="39">
        <v>45</v>
      </c>
      <c r="C48" s="28" t="str">
        <f t="shared" si="0"/>
        <v>BL_BUILDING_CODE</v>
      </c>
      <c r="D48" s="10" t="s">
        <v>406</v>
      </c>
      <c r="E48" s="57">
        <v>2</v>
      </c>
      <c r="G48" s="10" t="s">
        <v>407</v>
      </c>
      <c r="I48" s="27" t="s">
        <v>1020</v>
      </c>
      <c r="M48" s="10" t="s">
        <v>80</v>
      </c>
      <c r="N48" s="10" t="s">
        <v>428</v>
      </c>
      <c r="O48" s="28" t="s">
        <v>515</v>
      </c>
      <c r="P48" s="10" t="s">
        <v>275</v>
      </c>
      <c r="Q48" s="10" t="s">
        <v>102</v>
      </c>
    </row>
    <row r="49" spans="2:17" x14ac:dyDescent="0.3">
      <c r="B49" s="39">
        <v>46</v>
      </c>
      <c r="C49" s="28" t="str">
        <f t="shared" si="0"/>
        <v>BL_ROOF_DECK</v>
      </c>
      <c r="D49" s="10" t="s">
        <v>406</v>
      </c>
      <c r="E49" s="57">
        <v>2</v>
      </c>
      <c r="G49" s="10" t="s">
        <v>407</v>
      </c>
      <c r="I49" s="27" t="s">
        <v>1021</v>
      </c>
      <c r="M49" s="10" t="s">
        <v>80</v>
      </c>
      <c r="N49" s="10" t="s">
        <v>1052</v>
      </c>
      <c r="O49" s="28" t="s">
        <v>516</v>
      </c>
      <c r="P49" s="10" t="s">
        <v>275</v>
      </c>
      <c r="Q49" s="10" t="s">
        <v>102</v>
      </c>
    </row>
    <row r="50" spans="2:17" x14ac:dyDescent="0.3">
      <c r="B50" s="39">
        <v>47</v>
      </c>
      <c r="C50" s="28" t="str">
        <f t="shared" si="0"/>
        <v>BL_STRUCTURE_TYPE</v>
      </c>
      <c r="D50" s="10" t="s">
        <v>406</v>
      </c>
      <c r="E50" s="57">
        <v>2</v>
      </c>
      <c r="G50" s="10" t="s">
        <v>407</v>
      </c>
      <c r="I50" s="27" t="s">
        <v>1022</v>
      </c>
      <c r="M50" s="10" t="s">
        <v>80</v>
      </c>
      <c r="N50" s="10" t="s">
        <v>430</v>
      </c>
      <c r="O50" s="28" t="s">
        <v>517</v>
      </c>
      <c r="P50" s="10" t="s">
        <v>275</v>
      </c>
      <c r="Q50" s="10" t="s">
        <v>102</v>
      </c>
    </row>
    <row r="51" spans="2:17" ht="13.05" customHeight="1" x14ac:dyDescent="0.3">
      <c r="B51" s="39">
        <v>48</v>
      </c>
      <c r="C51" s="28" t="str">
        <f t="shared" si="0"/>
        <v>BL_MINE_SUB_SIDENCE_APPLIES</v>
      </c>
      <c r="D51" s="10" t="s">
        <v>406</v>
      </c>
      <c r="E51" s="57">
        <v>2</v>
      </c>
      <c r="G51" s="10" t="s">
        <v>407</v>
      </c>
      <c r="I51" s="27" t="s">
        <v>1023</v>
      </c>
      <c r="M51" s="10" t="s">
        <v>80</v>
      </c>
      <c r="N51" s="10" t="s">
        <v>431</v>
      </c>
      <c r="O51" s="28" t="s">
        <v>518</v>
      </c>
      <c r="P51" s="10" t="s">
        <v>275</v>
      </c>
      <c r="Q51" s="10" t="s">
        <v>102</v>
      </c>
    </row>
    <row r="52" spans="2:17" ht="27.6" x14ac:dyDescent="0.3">
      <c r="B52" s="39">
        <v>49</v>
      </c>
      <c r="C52" s="28" t="str">
        <f t="shared" si="0"/>
        <v>BL_ROOF_WALL_CONNECTION</v>
      </c>
      <c r="D52" s="10" t="s">
        <v>406</v>
      </c>
      <c r="E52" s="57">
        <v>2</v>
      </c>
      <c r="G52" s="10" t="s">
        <v>407</v>
      </c>
      <c r="I52" s="27" t="s">
        <v>1024</v>
      </c>
      <c r="M52" s="10" t="s">
        <v>80</v>
      </c>
      <c r="N52" s="10" t="s">
        <v>432</v>
      </c>
      <c r="O52" s="28" t="s">
        <v>519</v>
      </c>
      <c r="P52" s="10" t="s">
        <v>275</v>
      </c>
      <c r="Q52" s="10" t="s">
        <v>102</v>
      </c>
    </row>
    <row r="53" spans="2:17" x14ac:dyDescent="0.3">
      <c r="B53" s="39">
        <v>50</v>
      </c>
      <c r="C53" s="28" t="str">
        <f t="shared" si="0"/>
        <v>BL_ROOF_MATERIAL</v>
      </c>
      <c r="D53" s="10" t="s">
        <v>406</v>
      </c>
      <c r="E53" s="57">
        <v>2</v>
      </c>
      <c r="G53" s="10" t="s">
        <v>407</v>
      </c>
      <c r="I53" s="27" t="s">
        <v>1025</v>
      </c>
      <c r="M53" s="10" t="s">
        <v>80</v>
      </c>
      <c r="N53" s="10" t="s">
        <v>433</v>
      </c>
      <c r="O53" s="28" t="s">
        <v>520</v>
      </c>
      <c r="P53" s="10" t="s">
        <v>275</v>
      </c>
      <c r="Q53" s="10" t="s">
        <v>102</v>
      </c>
    </row>
    <row r="54" spans="2:17" x14ac:dyDescent="0.3">
      <c r="B54" s="39">
        <v>51</v>
      </c>
      <c r="C54" s="28" t="str">
        <f t="shared" si="0"/>
        <v>BL_WIND_STORM_INCLUDED</v>
      </c>
      <c r="D54" s="10" t="s">
        <v>406</v>
      </c>
      <c r="E54" s="57">
        <v>2</v>
      </c>
      <c r="G54" s="10" t="s">
        <v>407</v>
      </c>
      <c r="I54" s="27" t="s">
        <v>1026</v>
      </c>
      <c r="M54" s="10" t="s">
        <v>80</v>
      </c>
      <c r="N54" s="10" t="s">
        <v>1053</v>
      </c>
      <c r="O54" s="28" t="s">
        <v>521</v>
      </c>
      <c r="P54" s="10" t="s">
        <v>275</v>
      </c>
      <c r="Q54" s="10" t="s">
        <v>102</v>
      </c>
    </row>
    <row r="55" spans="2:17" x14ac:dyDescent="0.3">
      <c r="B55" s="39">
        <v>52</v>
      </c>
      <c r="C55" s="28" t="str">
        <f t="shared" si="0"/>
        <v>BL_WATER_RESISTANCE</v>
      </c>
      <c r="D55" s="10" t="s">
        <v>406</v>
      </c>
      <c r="E55" s="57">
        <v>2</v>
      </c>
      <c r="G55" s="10" t="s">
        <v>407</v>
      </c>
      <c r="I55" s="27" t="s">
        <v>1027</v>
      </c>
      <c r="M55" s="10" t="s">
        <v>80</v>
      </c>
      <c r="N55" s="10" t="s">
        <v>1054</v>
      </c>
      <c r="O55" s="28" t="s">
        <v>522</v>
      </c>
      <c r="P55" s="10" t="s">
        <v>275</v>
      </c>
      <c r="Q55" s="10" t="s">
        <v>102</v>
      </c>
    </row>
    <row r="56" spans="2:17" x14ac:dyDescent="0.3">
      <c r="B56" s="39">
        <v>53</v>
      </c>
      <c r="C56" s="28" t="str">
        <f t="shared" si="0"/>
        <v>BL_ROOF_SHAPE</v>
      </c>
      <c r="D56" s="10" t="s">
        <v>406</v>
      </c>
      <c r="E56" s="57">
        <v>2</v>
      </c>
      <c r="G56" s="10" t="s">
        <v>407</v>
      </c>
      <c r="I56" s="27" t="s">
        <v>1028</v>
      </c>
      <c r="M56" s="10" t="s">
        <v>80</v>
      </c>
      <c r="N56" s="10" t="s">
        <v>436</v>
      </c>
      <c r="O56" s="28" t="s">
        <v>523</v>
      </c>
      <c r="P56" s="10" t="s">
        <v>275</v>
      </c>
      <c r="Q56" s="10" t="s">
        <v>102</v>
      </c>
    </row>
    <row r="57" spans="2:17" x14ac:dyDescent="0.3">
      <c r="B57" s="39">
        <v>54</v>
      </c>
      <c r="C57" s="28" t="str">
        <f t="shared" si="0"/>
        <v>BL_DOOR_STRENGTH</v>
      </c>
      <c r="D57" s="10" t="s">
        <v>406</v>
      </c>
      <c r="E57" s="57">
        <v>2</v>
      </c>
      <c r="G57" s="10" t="s">
        <v>407</v>
      </c>
      <c r="I57" s="27" t="s">
        <v>1029</v>
      </c>
      <c r="M57" s="10" t="s">
        <v>80</v>
      </c>
      <c r="N57" s="10" t="s">
        <v>437</v>
      </c>
      <c r="O57" s="28" t="s">
        <v>524</v>
      </c>
      <c r="P57" s="10" t="s">
        <v>275</v>
      </c>
      <c r="Q57" s="10" t="s">
        <v>102</v>
      </c>
    </row>
    <row r="58" spans="2:17" x14ac:dyDescent="0.3">
      <c r="B58" s="39">
        <v>55</v>
      </c>
      <c r="C58" s="28" t="str">
        <f t="shared" si="0"/>
        <v>BL_LEVEL</v>
      </c>
      <c r="D58" s="10" t="s">
        <v>406</v>
      </c>
      <c r="E58" s="57">
        <v>2</v>
      </c>
      <c r="G58" s="10" t="s">
        <v>407</v>
      </c>
      <c r="I58" s="27" t="s">
        <v>1030</v>
      </c>
      <c r="M58" s="10" t="s">
        <v>80</v>
      </c>
      <c r="N58" s="10" t="s">
        <v>438</v>
      </c>
      <c r="O58" s="28" t="s">
        <v>525</v>
      </c>
      <c r="P58" s="10" t="s">
        <v>275</v>
      </c>
      <c r="Q58" s="10" t="s">
        <v>102</v>
      </c>
    </row>
    <row r="59" spans="2:17" ht="13.05" customHeight="1" x14ac:dyDescent="0.3">
      <c r="B59" s="39">
        <v>56</v>
      </c>
      <c r="C59" s="28" t="str">
        <f t="shared" si="0"/>
        <v>BL_ROOF_DECK_BUILDING_TYPEII</v>
      </c>
      <c r="D59" s="10" t="s">
        <v>406</v>
      </c>
      <c r="E59" s="57">
        <v>2</v>
      </c>
      <c r="G59" s="10" t="s">
        <v>407</v>
      </c>
      <c r="I59" s="27" t="s">
        <v>1031</v>
      </c>
      <c r="M59" s="10" t="s">
        <v>80</v>
      </c>
      <c r="N59" s="10" t="s">
        <v>439</v>
      </c>
      <c r="O59" s="28" t="s">
        <v>526</v>
      </c>
      <c r="P59" s="10" t="s">
        <v>275</v>
      </c>
      <c r="Q59" s="10" t="s">
        <v>102</v>
      </c>
    </row>
    <row r="60" spans="2:17" x14ac:dyDescent="0.3">
      <c r="B60" s="39">
        <v>57</v>
      </c>
      <c r="C60" s="28" t="str">
        <f t="shared" si="0"/>
        <v>BL_AREA</v>
      </c>
      <c r="D60" s="10" t="s">
        <v>406</v>
      </c>
      <c r="E60" s="57">
        <v>2</v>
      </c>
      <c r="G60" s="10" t="s">
        <v>407</v>
      </c>
      <c r="I60" s="27" t="s">
        <v>1032</v>
      </c>
      <c r="M60" s="10" t="s">
        <v>80</v>
      </c>
      <c r="N60" s="10" t="s">
        <v>440</v>
      </c>
      <c r="O60" s="28" t="s">
        <v>527</v>
      </c>
      <c r="P60" s="10" t="s">
        <v>275</v>
      </c>
      <c r="Q60" s="10" t="s">
        <v>102</v>
      </c>
    </row>
    <row r="61" spans="2:17" x14ac:dyDescent="0.3">
      <c r="B61" s="39">
        <v>58</v>
      </c>
      <c r="C61" s="28" t="str">
        <f t="shared" si="0"/>
        <v>BL_CONSTRUCTED</v>
      </c>
      <c r="D61" s="10" t="s">
        <v>406</v>
      </c>
      <c r="E61" s="57">
        <v>2</v>
      </c>
      <c r="G61" s="10" t="s">
        <v>407</v>
      </c>
      <c r="I61" s="27" t="s">
        <v>1033</v>
      </c>
      <c r="M61" s="10" t="s">
        <v>80</v>
      </c>
      <c r="N61" s="10" t="s">
        <v>1055</v>
      </c>
      <c r="O61" s="28" t="s">
        <v>528</v>
      </c>
      <c r="P61" s="10" t="s">
        <v>275</v>
      </c>
      <c r="Q61" s="10" t="s">
        <v>102</v>
      </c>
    </row>
    <row r="62" spans="2:17" x14ac:dyDescent="0.3">
      <c r="B62" s="39">
        <v>59</v>
      </c>
      <c r="C62" s="28" t="str">
        <f t="shared" si="0"/>
        <v>BL_ROOF_COVER</v>
      </c>
      <c r="D62" s="10" t="s">
        <v>406</v>
      </c>
      <c r="E62" s="57">
        <v>2</v>
      </c>
      <c r="G62" s="10" t="s">
        <v>407</v>
      </c>
      <c r="I62" s="27" t="s">
        <v>1034</v>
      </c>
      <c r="M62" s="10" t="s">
        <v>80</v>
      </c>
      <c r="N62" s="10" t="s">
        <v>1056</v>
      </c>
      <c r="O62" s="28" t="s">
        <v>529</v>
      </c>
      <c r="P62" s="10" t="s">
        <v>275</v>
      </c>
      <c r="Q62" s="10" t="s">
        <v>102</v>
      </c>
    </row>
    <row r="63" spans="2:17" ht="13.05" customHeight="1" x14ac:dyDescent="0.3">
      <c r="B63" s="39">
        <v>60</v>
      </c>
      <c r="C63" s="28" t="str">
        <f t="shared" si="0"/>
        <v>BL_BUILDING_OCCUPANCY_TYPE</v>
      </c>
      <c r="D63" s="10" t="s">
        <v>406</v>
      </c>
      <c r="E63" s="57">
        <v>2</v>
      </c>
      <c r="G63" s="10" t="s">
        <v>407</v>
      </c>
      <c r="I63" s="27" t="s">
        <v>1035</v>
      </c>
      <c r="M63" s="10" t="s">
        <v>80</v>
      </c>
      <c r="N63" s="10" t="s">
        <v>443</v>
      </c>
      <c r="O63" s="28" t="s">
        <v>530</v>
      </c>
      <c r="P63" s="10" t="s">
        <v>275</v>
      </c>
      <c r="Q63" s="10" t="s">
        <v>102</v>
      </c>
    </row>
    <row r="64" spans="2:17" ht="13.05" customHeight="1" x14ac:dyDescent="0.3">
      <c r="B64" s="39">
        <v>61</v>
      </c>
      <c r="C64" s="28" t="str">
        <f t="shared" si="0"/>
        <v>BL_MINE_SUB_SIDENCE_INSURED_PROPER</v>
      </c>
      <c r="D64" s="10" t="s">
        <v>406</v>
      </c>
      <c r="E64" s="57">
        <v>2</v>
      </c>
      <c r="G64" s="10" t="s">
        <v>407</v>
      </c>
      <c r="I64" s="27" t="s">
        <v>1036</v>
      </c>
      <c r="M64" s="10" t="s">
        <v>80</v>
      </c>
      <c r="N64" s="10" t="s">
        <v>444</v>
      </c>
      <c r="O64" s="28" t="s">
        <v>531</v>
      </c>
      <c r="P64" s="10" t="s">
        <v>275</v>
      </c>
      <c r="Q64" s="10" t="s">
        <v>102</v>
      </c>
    </row>
    <row r="65" spans="2:17" x14ac:dyDescent="0.3">
      <c r="B65" s="39">
        <v>62</v>
      </c>
      <c r="C65" s="28" t="str">
        <f t="shared" si="0"/>
        <v>BL_OCCUPANCY_CLASS</v>
      </c>
      <c r="D65" s="10" t="s">
        <v>406</v>
      </c>
      <c r="E65" s="57">
        <v>2</v>
      </c>
      <c r="G65" s="10" t="s">
        <v>407</v>
      </c>
      <c r="I65" s="27" t="s">
        <v>1037</v>
      </c>
      <c r="M65" s="10" t="s">
        <v>80</v>
      </c>
      <c r="N65" s="10" t="s">
        <v>445</v>
      </c>
      <c r="O65" s="28" t="s">
        <v>532</v>
      </c>
      <c r="P65" s="10" t="s">
        <v>275</v>
      </c>
      <c r="Q65" s="10" t="s">
        <v>102</v>
      </c>
    </row>
    <row r="66" spans="2:17" ht="13.05" customHeight="1" x14ac:dyDescent="0.3">
      <c r="B66" s="39">
        <v>63</v>
      </c>
      <c r="C66" s="28" t="str">
        <f t="shared" si="0"/>
        <v>BL_MINE_SUB_SIDENCE_WAIVED</v>
      </c>
      <c r="D66" s="10" t="s">
        <v>406</v>
      </c>
      <c r="E66" s="57">
        <v>2</v>
      </c>
      <c r="G66" s="10" t="s">
        <v>407</v>
      </c>
      <c r="I66" s="27" t="s">
        <v>1038</v>
      </c>
      <c r="M66" s="10" t="s">
        <v>80</v>
      </c>
      <c r="N66" s="10" t="s">
        <v>1057</v>
      </c>
      <c r="O66" s="28" t="s">
        <v>533</v>
      </c>
      <c r="P66" s="10" t="s">
        <v>275</v>
      </c>
      <c r="Q66" s="10" t="s">
        <v>102</v>
      </c>
    </row>
    <row r="67" spans="2:17" x14ac:dyDescent="0.3">
      <c r="B67" s="39">
        <v>64</v>
      </c>
      <c r="C67" s="28" t="str">
        <f t="shared" si="0"/>
        <v>BL_SUB_DECKING</v>
      </c>
      <c r="D67" s="10" t="s">
        <v>406</v>
      </c>
      <c r="E67" s="57">
        <v>2</v>
      </c>
      <c r="G67" s="10" t="s">
        <v>407</v>
      </c>
      <c r="I67" s="27" t="s">
        <v>1039</v>
      </c>
      <c r="M67" s="10" t="s">
        <v>80</v>
      </c>
      <c r="N67" s="10" t="s">
        <v>1058</v>
      </c>
      <c r="O67" s="28" t="s">
        <v>534</v>
      </c>
      <c r="P67" s="10" t="s">
        <v>275</v>
      </c>
      <c r="Q67" s="10" t="s">
        <v>102</v>
      </c>
    </row>
    <row r="68" spans="2:17" x14ac:dyDescent="0.3">
      <c r="B68" s="39">
        <v>65</v>
      </c>
      <c r="C68" s="28" t="str">
        <f t="shared" ref="C68:C92" si="1">O68</f>
        <v>BL_BUILDING_GROUP</v>
      </c>
      <c r="D68" s="10" t="s">
        <v>406</v>
      </c>
      <c r="E68" s="57">
        <v>2</v>
      </c>
      <c r="G68" s="10" t="s">
        <v>407</v>
      </c>
      <c r="I68" s="27" t="s">
        <v>1040</v>
      </c>
      <c r="M68" s="10" t="s">
        <v>80</v>
      </c>
      <c r="N68" s="10" t="s">
        <v>448</v>
      </c>
      <c r="O68" s="28" t="s">
        <v>535</v>
      </c>
      <c r="P68" s="10" t="s">
        <v>98</v>
      </c>
      <c r="Q68" s="10" t="s">
        <v>102</v>
      </c>
    </row>
    <row r="69" spans="2:17" ht="13.05" customHeight="1" x14ac:dyDescent="0.3">
      <c r="B69" s="39">
        <v>66</v>
      </c>
      <c r="C69" s="28" t="str">
        <f t="shared" si="1"/>
        <v>BL_AGREED_VALUE_OF_BUILDING</v>
      </c>
      <c r="D69" s="10" t="s">
        <v>197</v>
      </c>
      <c r="E69" s="57">
        <v>2</v>
      </c>
      <c r="G69" s="10" t="s">
        <v>407</v>
      </c>
      <c r="I69" s="27" t="s">
        <v>1041</v>
      </c>
      <c r="M69" s="10" t="s">
        <v>233</v>
      </c>
      <c r="N69" s="10" t="s">
        <v>449</v>
      </c>
      <c r="O69" s="28" t="s">
        <v>536</v>
      </c>
      <c r="P69" s="10" t="s">
        <v>274</v>
      </c>
      <c r="Q69" s="10" t="s">
        <v>276</v>
      </c>
    </row>
    <row r="70" spans="2:17" x14ac:dyDescent="0.3">
      <c r="B70" s="39">
        <v>67</v>
      </c>
      <c r="C70" s="28" t="str">
        <f t="shared" si="1"/>
        <v>BL_OPENING_PROTECTION</v>
      </c>
      <c r="D70" s="10" t="s">
        <v>406</v>
      </c>
      <c r="E70" s="57">
        <v>2</v>
      </c>
      <c r="G70" s="10" t="s">
        <v>407</v>
      </c>
      <c r="I70" s="27" t="s">
        <v>1042</v>
      </c>
      <c r="M70" s="10" t="s">
        <v>80</v>
      </c>
      <c r="N70" s="10" t="s">
        <v>450</v>
      </c>
      <c r="O70" s="28" t="s">
        <v>1060</v>
      </c>
      <c r="P70" s="10" t="s">
        <v>275</v>
      </c>
      <c r="Q70" s="10" t="s">
        <v>102</v>
      </c>
    </row>
    <row r="71" spans="2:17" ht="13.05" customHeight="1" x14ac:dyDescent="0.3">
      <c r="B71" s="39">
        <v>68</v>
      </c>
      <c r="C71" s="28" t="str">
        <f t="shared" si="1"/>
        <v>BL_COMMERCIAL_CONDOMINIUM</v>
      </c>
      <c r="D71" s="10" t="s">
        <v>406</v>
      </c>
      <c r="E71" s="57">
        <v>2</v>
      </c>
      <c r="G71" s="10" t="s">
        <v>407</v>
      </c>
      <c r="I71" s="27" t="s">
        <v>1043</v>
      </c>
      <c r="M71" s="10" t="s">
        <v>80</v>
      </c>
      <c r="N71" s="10" t="s">
        <v>1059</v>
      </c>
      <c r="O71" s="28" t="s">
        <v>538</v>
      </c>
      <c r="P71" s="10" t="s">
        <v>275</v>
      </c>
      <c r="Q71" s="10" t="s">
        <v>102</v>
      </c>
    </row>
    <row r="72" spans="2:17" x14ac:dyDescent="0.3">
      <c r="B72" s="39">
        <v>69</v>
      </c>
      <c r="C72" s="28" t="str">
        <f t="shared" si="1"/>
        <v>BL_IBHS_CERTIFICATE_TYPE_2</v>
      </c>
      <c r="D72" s="10" t="s">
        <v>406</v>
      </c>
      <c r="E72" s="57">
        <v>2</v>
      </c>
      <c r="G72" s="10" t="s">
        <v>407</v>
      </c>
      <c r="I72" s="27" t="s">
        <v>1044</v>
      </c>
      <c r="M72" s="10" t="s">
        <v>80</v>
      </c>
      <c r="N72" s="10" t="s">
        <v>357</v>
      </c>
      <c r="O72" s="28" t="s">
        <v>539</v>
      </c>
      <c r="P72" s="10" t="s">
        <v>275</v>
      </c>
      <c r="Q72" s="10" t="s">
        <v>102</v>
      </c>
    </row>
    <row r="73" spans="2:17" x14ac:dyDescent="0.3">
      <c r="B73" s="39">
        <v>70</v>
      </c>
      <c r="C73" s="28" t="str">
        <f t="shared" si="1"/>
        <v>BL BCEG CD EXT</v>
      </c>
      <c r="D73" s="10" t="s">
        <v>406</v>
      </c>
      <c r="E73" s="57">
        <v>2</v>
      </c>
      <c r="G73" s="10" t="s">
        <v>407</v>
      </c>
      <c r="I73" s="27" t="s">
        <v>1045</v>
      </c>
      <c r="M73" s="10" t="s">
        <v>80</v>
      </c>
      <c r="N73" s="10" t="s">
        <v>477</v>
      </c>
      <c r="O73" s="28" t="s">
        <v>1061</v>
      </c>
      <c r="P73" s="10" t="s">
        <v>275</v>
      </c>
      <c r="Q73" s="10" t="s">
        <v>102</v>
      </c>
    </row>
    <row r="74" spans="2:17" x14ac:dyDescent="0.3">
      <c r="B74" s="39">
        <v>71</v>
      </c>
      <c r="C74" s="28" t="str">
        <f t="shared" si="1"/>
        <v>BL_BCEG_ERR_MSG_EXT</v>
      </c>
      <c r="D74" s="10" t="s">
        <v>406</v>
      </c>
      <c r="E74" s="57">
        <v>2</v>
      </c>
      <c r="G74" s="10" t="s">
        <v>407</v>
      </c>
      <c r="I74" s="27" t="s">
        <v>1006</v>
      </c>
      <c r="M74" s="10" t="s">
        <v>80</v>
      </c>
      <c r="N74" s="10" t="s">
        <v>478</v>
      </c>
      <c r="O74" s="28" t="s">
        <v>550</v>
      </c>
      <c r="P74" s="10" t="s">
        <v>98</v>
      </c>
      <c r="Q74" s="10" t="s">
        <v>102</v>
      </c>
    </row>
    <row r="75" spans="2:17" x14ac:dyDescent="0.3">
      <c r="B75" s="39">
        <v>72</v>
      </c>
      <c r="C75" s="28" t="str">
        <f t="shared" si="1"/>
        <v>BL_BCEG_STAT_EXT_CD</v>
      </c>
      <c r="D75" s="10" t="s">
        <v>406</v>
      </c>
      <c r="E75" s="57">
        <v>2</v>
      </c>
      <c r="G75" s="10" t="s">
        <v>407</v>
      </c>
      <c r="I75" s="27" t="s">
        <v>1007</v>
      </c>
      <c r="M75" s="10" t="s">
        <v>80</v>
      </c>
      <c r="N75" s="10" t="s">
        <v>479</v>
      </c>
      <c r="O75" s="28" t="s">
        <v>551</v>
      </c>
      <c r="P75" s="10" t="s">
        <v>275</v>
      </c>
      <c r="Q75" s="10" t="s">
        <v>102</v>
      </c>
    </row>
    <row r="76" spans="2:17" ht="13.05" customHeight="1" x14ac:dyDescent="0.3">
      <c r="B76" s="39">
        <v>73</v>
      </c>
      <c r="C76" s="28" t="str">
        <f t="shared" si="1"/>
        <v>BL_CE_SUBSTRUCTURE_TYPE_CD</v>
      </c>
      <c r="D76" s="10" t="s">
        <v>406</v>
      </c>
      <c r="E76" s="57">
        <v>2</v>
      </c>
      <c r="G76" s="10" t="s">
        <v>407</v>
      </c>
      <c r="I76" s="27" t="s">
        <v>1008</v>
      </c>
      <c r="M76" s="10" t="s">
        <v>80</v>
      </c>
      <c r="N76" s="10" t="s">
        <v>480</v>
      </c>
      <c r="O76" s="28" t="s">
        <v>552</v>
      </c>
      <c r="P76" s="10" t="s">
        <v>275</v>
      </c>
      <c r="Q76" s="10" t="s">
        <v>102</v>
      </c>
    </row>
    <row r="77" spans="2:17" ht="13.05" customHeight="1" x14ac:dyDescent="0.3">
      <c r="B77" s="39">
        <v>74</v>
      </c>
      <c r="C77" s="28" t="str">
        <f t="shared" si="1"/>
        <v>BL_FREIGHT_ELEVATOR_MAT_TYPE_EXT</v>
      </c>
      <c r="D77" s="10" t="s">
        <v>406</v>
      </c>
      <c r="E77" s="57">
        <v>2</v>
      </c>
      <c r="G77" s="10" t="s">
        <v>407</v>
      </c>
      <c r="I77" s="27" t="s">
        <v>1046</v>
      </c>
      <c r="M77" s="10" t="s">
        <v>80</v>
      </c>
      <c r="N77" s="10" t="s">
        <v>481</v>
      </c>
      <c r="O77" s="28" t="s">
        <v>553</v>
      </c>
      <c r="P77" s="10" t="s">
        <v>275</v>
      </c>
      <c r="Q77" s="10" t="s">
        <v>102</v>
      </c>
    </row>
    <row r="78" spans="2:17" x14ac:dyDescent="0.3">
      <c r="B78" s="39">
        <v>75</v>
      </c>
      <c r="C78" s="28" t="str">
        <f t="shared" si="1"/>
        <v>BL_FREIGHT_ELEVATORS_EXT</v>
      </c>
      <c r="D78" s="10" t="s">
        <v>197</v>
      </c>
      <c r="E78" s="57">
        <v>2</v>
      </c>
      <c r="G78" s="10" t="s">
        <v>407</v>
      </c>
      <c r="I78" s="27" t="s">
        <v>1047</v>
      </c>
      <c r="M78" s="10" t="s">
        <v>233</v>
      </c>
      <c r="N78" s="10" t="s">
        <v>482</v>
      </c>
      <c r="O78" s="28" t="s">
        <v>1062</v>
      </c>
      <c r="P78" s="10" t="s">
        <v>274</v>
      </c>
      <c r="Q78" s="10" t="s">
        <v>276</v>
      </c>
    </row>
    <row r="79" spans="2:17" x14ac:dyDescent="0.3">
      <c r="B79" s="39">
        <v>76</v>
      </c>
      <c r="C79" s="28" t="str">
        <f t="shared" si="1"/>
        <v>BL_OCCPNCY_CD_EXT</v>
      </c>
      <c r="D79" s="10" t="s">
        <v>406</v>
      </c>
      <c r="E79" s="57">
        <v>2</v>
      </c>
      <c r="G79" s="10" t="s">
        <v>407</v>
      </c>
      <c r="I79" s="27" t="s">
        <v>1009</v>
      </c>
      <c r="M79" s="10" t="s">
        <v>80</v>
      </c>
      <c r="N79" s="10" t="s">
        <v>483</v>
      </c>
      <c r="O79" s="28" t="s">
        <v>555</v>
      </c>
      <c r="P79" s="10" t="s">
        <v>98</v>
      </c>
      <c r="Q79" s="10" t="s">
        <v>102</v>
      </c>
    </row>
    <row r="80" spans="2:17" x14ac:dyDescent="0.3">
      <c r="B80" s="39">
        <v>77</v>
      </c>
      <c r="C80" s="28" t="str">
        <f t="shared" si="1"/>
        <v>BL_OCCPNCY_TEXT_EXT</v>
      </c>
      <c r="D80" s="10" t="s">
        <v>406</v>
      </c>
      <c r="E80" s="57">
        <v>2</v>
      </c>
      <c r="G80" s="10" t="s">
        <v>407</v>
      </c>
      <c r="I80" s="27" t="s">
        <v>1048</v>
      </c>
      <c r="M80" s="10" t="s">
        <v>80</v>
      </c>
      <c r="N80" s="10" t="s">
        <v>484</v>
      </c>
      <c r="O80" s="28" t="s">
        <v>556</v>
      </c>
      <c r="P80" s="10" t="s">
        <v>98</v>
      </c>
      <c r="Q80" s="10" t="s">
        <v>102</v>
      </c>
    </row>
    <row r="81" spans="2:17" ht="27.6" x14ac:dyDescent="0.3">
      <c r="B81" s="39">
        <v>78</v>
      </c>
      <c r="C81" s="28" t="str">
        <f t="shared" si="1"/>
        <v>BL_OVRD_OCC_CD_EXT_FL</v>
      </c>
      <c r="D81" s="10" t="s">
        <v>1063</v>
      </c>
      <c r="E81" s="57">
        <v>2</v>
      </c>
      <c r="G81" s="10" t="s">
        <v>407</v>
      </c>
      <c r="I81" s="27" t="s">
        <v>1049</v>
      </c>
      <c r="M81" s="10" t="s">
        <v>83</v>
      </c>
      <c r="N81" s="10" t="s">
        <v>485</v>
      </c>
      <c r="O81" s="28" t="s">
        <v>557</v>
      </c>
      <c r="P81" s="10" t="s">
        <v>121</v>
      </c>
      <c r="Q81" s="10" t="s">
        <v>165</v>
      </c>
    </row>
    <row r="82" spans="2:17" ht="13.05" customHeight="1" x14ac:dyDescent="0.3">
      <c r="B82" s="39">
        <v>79</v>
      </c>
      <c r="C82" s="28" t="str">
        <f t="shared" si="1"/>
        <v>BL_PASS_ELEVATOR_MAT_TYPE_EXT</v>
      </c>
      <c r="D82" s="10" t="s">
        <v>406</v>
      </c>
      <c r="E82" s="57">
        <v>2</v>
      </c>
      <c r="G82" s="10" t="s">
        <v>407</v>
      </c>
      <c r="I82" s="27" t="s">
        <v>1050</v>
      </c>
      <c r="M82" s="10" t="s">
        <v>80</v>
      </c>
      <c r="N82" s="10" t="s">
        <v>486</v>
      </c>
      <c r="O82" s="28" t="s">
        <v>558</v>
      </c>
      <c r="P82" s="10" t="s">
        <v>98</v>
      </c>
      <c r="Q82" s="10" t="s">
        <v>102</v>
      </c>
    </row>
    <row r="83" spans="2:17" x14ac:dyDescent="0.3">
      <c r="B83" s="39">
        <v>80</v>
      </c>
      <c r="C83" s="28" t="str">
        <f t="shared" si="1"/>
        <v>BL_PSNGR_ELEVATORS_EXT</v>
      </c>
      <c r="D83" s="10" t="s">
        <v>197</v>
      </c>
      <c r="E83" s="57">
        <v>2</v>
      </c>
      <c r="G83" s="10" t="s">
        <v>407</v>
      </c>
      <c r="I83" s="27" t="s">
        <v>1051</v>
      </c>
      <c r="M83" s="10" t="s">
        <v>233</v>
      </c>
      <c r="N83" s="10" t="s">
        <v>487</v>
      </c>
      <c r="O83" s="28" t="s">
        <v>559</v>
      </c>
      <c r="P83" s="10" t="s">
        <v>274</v>
      </c>
      <c r="Q83" s="10" t="s">
        <v>276</v>
      </c>
    </row>
    <row r="84" spans="2:17" ht="13.05" customHeight="1" x14ac:dyDescent="0.3">
      <c r="B84" s="39">
        <v>81</v>
      </c>
      <c r="C84" s="28" t="str">
        <f t="shared" si="1"/>
        <v>BL_PREFD_STTLMNT_CURR_CD</v>
      </c>
      <c r="D84" s="10" t="s">
        <v>406</v>
      </c>
      <c r="E84" s="57">
        <v>2</v>
      </c>
      <c r="G84" s="10" t="s">
        <v>407</v>
      </c>
      <c r="I84" s="27" t="s">
        <v>1010</v>
      </c>
      <c r="M84" s="10" t="s">
        <v>80</v>
      </c>
      <c r="N84" s="10" t="s">
        <v>110</v>
      </c>
      <c r="O84" s="28" t="s">
        <v>560</v>
      </c>
      <c r="P84" s="10" t="s">
        <v>275</v>
      </c>
      <c r="Q84" s="10" t="s">
        <v>102</v>
      </c>
    </row>
    <row r="85" spans="2:17" ht="13.05" customHeight="1" x14ac:dyDescent="0.3">
      <c r="B85" s="39">
        <v>82</v>
      </c>
      <c r="C85" s="28" t="str">
        <f t="shared" si="1"/>
        <v>BL_SPRINKLER_MATERIAL_TYPE_EXT</v>
      </c>
      <c r="D85" s="10" t="s">
        <v>406</v>
      </c>
      <c r="E85" s="57">
        <v>2</v>
      </c>
      <c r="G85" s="10" t="s">
        <v>407</v>
      </c>
      <c r="I85" s="27" t="s">
        <v>1011</v>
      </c>
      <c r="M85" s="10" t="s">
        <v>80</v>
      </c>
      <c r="N85" s="10" t="s">
        <v>488</v>
      </c>
      <c r="O85" s="28" t="s">
        <v>561</v>
      </c>
      <c r="P85" s="10" t="s">
        <v>275</v>
      </c>
      <c r="Q85" s="10" t="s">
        <v>102</v>
      </c>
    </row>
    <row r="86" spans="2:17" x14ac:dyDescent="0.3">
      <c r="B86" s="39">
        <v>83</v>
      </c>
      <c r="C86" s="28" t="str">
        <f t="shared" si="1"/>
        <v>BL_SPRINKLER_PCT_EXT</v>
      </c>
      <c r="D86" s="10" t="s">
        <v>197</v>
      </c>
      <c r="E86" s="57">
        <v>2</v>
      </c>
      <c r="G86" s="10" t="s">
        <v>407</v>
      </c>
      <c r="I86" s="27" t="s">
        <v>1012</v>
      </c>
      <c r="M86" s="10" t="s">
        <v>233</v>
      </c>
      <c r="N86" s="10" t="s">
        <v>489</v>
      </c>
      <c r="O86" s="28" t="s">
        <v>562</v>
      </c>
      <c r="P86" s="10" t="s">
        <v>274</v>
      </c>
      <c r="Q86" s="10" t="s">
        <v>276</v>
      </c>
    </row>
    <row r="87" spans="2:17" ht="27.6" x14ac:dyDescent="0.3">
      <c r="B87" s="39">
        <v>84</v>
      </c>
      <c r="C87" s="28" t="str">
        <f t="shared" si="1"/>
        <v>BL_SUBSTRUCTURE_AREA_EXT</v>
      </c>
      <c r="D87" s="10" t="s">
        <v>197</v>
      </c>
      <c r="E87" s="57">
        <v>2</v>
      </c>
      <c r="G87" s="10" t="s">
        <v>407</v>
      </c>
      <c r="I87" s="27" t="s">
        <v>1013</v>
      </c>
      <c r="M87" s="10" t="s">
        <v>233</v>
      </c>
      <c r="N87" s="10" t="s">
        <v>490</v>
      </c>
      <c r="O87" s="28" t="s">
        <v>563</v>
      </c>
      <c r="P87" s="10" t="s">
        <v>274</v>
      </c>
      <c r="Q87" s="10" t="s">
        <v>276</v>
      </c>
    </row>
    <row r="88" spans="2:17" ht="13.05" customHeight="1" x14ac:dyDescent="0.3">
      <c r="B88" s="39">
        <v>85</v>
      </c>
      <c r="C88" s="28" t="str">
        <f t="shared" si="1"/>
        <v>BL_UPDATE_BCEG_EXT_FL</v>
      </c>
      <c r="D88" s="10" t="s">
        <v>1063</v>
      </c>
      <c r="E88" s="57">
        <v>2</v>
      </c>
      <c r="G88" s="10" t="s">
        <v>407</v>
      </c>
      <c r="I88" s="27" t="s">
        <v>1014</v>
      </c>
      <c r="M88" s="10" t="s">
        <v>83</v>
      </c>
      <c r="N88" s="10" t="s">
        <v>491</v>
      </c>
      <c r="O88" s="28" t="s">
        <v>564</v>
      </c>
      <c r="P88" s="10" t="s">
        <v>121</v>
      </c>
      <c r="Q88" s="10" t="s">
        <v>165</v>
      </c>
    </row>
    <row r="89" spans="2:17" ht="13.05" customHeight="1" x14ac:dyDescent="0.3">
      <c r="B89" s="39">
        <v>86</v>
      </c>
      <c r="C89" s="28" t="str">
        <f t="shared" si="1"/>
        <v>BL_UPDATE_ITV_EXT_FL</v>
      </c>
      <c r="D89" s="10" t="s">
        <v>1063</v>
      </c>
      <c r="E89" s="57">
        <v>2</v>
      </c>
      <c r="G89" s="10" t="s">
        <v>407</v>
      </c>
      <c r="I89" s="27" t="s">
        <v>1015</v>
      </c>
      <c r="M89" s="10" t="s">
        <v>83</v>
      </c>
      <c r="N89" s="10" t="s">
        <v>492</v>
      </c>
      <c r="O89" s="28" t="s">
        <v>565</v>
      </c>
      <c r="P89" s="10" t="s">
        <v>121</v>
      </c>
      <c r="Q89" s="10" t="s">
        <v>165</v>
      </c>
    </row>
    <row r="90" spans="2:17" ht="13.05" customHeight="1" x14ac:dyDescent="0.3">
      <c r="B90" s="39">
        <v>87</v>
      </c>
      <c r="C90" s="28" t="str">
        <f t="shared" si="1"/>
        <v>BL_USER_UPDATED_COVG_CURR_FL</v>
      </c>
      <c r="D90" s="10" t="s">
        <v>1063</v>
      </c>
      <c r="E90" s="57">
        <v>2</v>
      </c>
      <c r="G90" s="10" t="s">
        <v>407</v>
      </c>
      <c r="I90" s="27" t="s">
        <v>1016</v>
      </c>
      <c r="M90" s="10" t="s">
        <v>83</v>
      </c>
      <c r="N90" s="10" t="s">
        <v>115</v>
      </c>
      <c r="O90" s="28" t="s">
        <v>566</v>
      </c>
      <c r="P90" s="10" t="s">
        <v>121</v>
      </c>
      <c r="Q90" s="10" t="s">
        <v>165</v>
      </c>
    </row>
    <row r="91" spans="2:17" ht="13.05" customHeight="1" x14ac:dyDescent="0.3">
      <c r="B91" s="39">
        <v>88</v>
      </c>
      <c r="C91" s="28" t="str">
        <f t="shared" si="1"/>
        <v>BL_USER_UPDATED_STTLMNT_CURR_FL</v>
      </c>
      <c r="D91" s="10" t="s">
        <v>1063</v>
      </c>
      <c r="E91" s="57">
        <v>2</v>
      </c>
      <c r="G91" s="10" t="s">
        <v>407</v>
      </c>
      <c r="I91" s="27" t="s">
        <v>1017</v>
      </c>
      <c r="M91" s="10" t="s">
        <v>83</v>
      </c>
      <c r="N91" s="10" t="s">
        <v>116</v>
      </c>
      <c r="O91" s="28" t="s">
        <v>567</v>
      </c>
      <c r="P91" s="10" t="s">
        <v>121</v>
      </c>
      <c r="Q91" s="10" t="s">
        <v>165</v>
      </c>
    </row>
    <row r="92" spans="2:17" ht="13.05" customHeight="1" x14ac:dyDescent="0.3">
      <c r="B92" s="39">
        <v>89</v>
      </c>
      <c r="C92" s="28" t="str">
        <f t="shared" si="1"/>
        <v>BL_VACANT_SQUARE_FEET_EXT</v>
      </c>
      <c r="D92" s="10" t="s">
        <v>197</v>
      </c>
      <c r="E92" s="57">
        <v>2</v>
      </c>
      <c r="G92" s="10" t="s">
        <v>407</v>
      </c>
      <c r="I92" s="27" t="s">
        <v>1018</v>
      </c>
      <c r="M92" s="10" t="s">
        <v>233</v>
      </c>
      <c r="N92" s="10" t="s">
        <v>493</v>
      </c>
      <c r="O92" s="28" t="s">
        <v>568</v>
      </c>
      <c r="P92" s="10" t="s">
        <v>274</v>
      </c>
      <c r="Q92" s="10" t="s">
        <v>276</v>
      </c>
    </row>
  </sheetData>
  <mergeCells count="4">
    <mergeCell ref="A1:D1"/>
    <mergeCell ref="K1:L1"/>
    <mergeCell ref="N1:R1"/>
    <mergeCell ref="J3:J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23D7-6341-4637-936F-D553300FA104}">
  <dimension ref="A1:N180"/>
  <sheetViews>
    <sheetView topLeftCell="A113" zoomScale="90" zoomScaleNormal="90" workbookViewId="0">
      <selection activeCell="D9" sqref="D9"/>
    </sheetView>
  </sheetViews>
  <sheetFormatPr defaultRowHeight="14.4" x14ac:dyDescent="0.3"/>
  <cols>
    <col min="1" max="1" width="15.21875" bestFit="1" customWidth="1"/>
    <col min="2" max="2" width="13.44140625" customWidth="1"/>
    <col min="3" max="3" width="44.21875" style="19" customWidth="1"/>
    <col min="4" max="4" width="35.44140625" style="48" customWidth="1"/>
    <col min="5" max="5" width="26.33203125" customWidth="1"/>
    <col min="6" max="6" width="41.109375" style="31" customWidth="1"/>
    <col min="7" max="7" width="48.33203125" customWidth="1"/>
    <col min="8" max="8" width="8.77734375" style="48"/>
    <col min="9" max="9" width="14.33203125" bestFit="1" customWidth="1"/>
    <col min="10" max="10" width="33.88671875" style="31" bestFit="1" customWidth="1"/>
    <col min="11" max="11" width="27.109375" style="43" customWidth="1"/>
    <col min="12" max="12" width="16.44140625" style="43" customWidth="1"/>
    <col min="13" max="13" width="22.109375" style="43" bestFit="1" customWidth="1"/>
  </cols>
  <sheetData>
    <row r="1" spans="1:14" x14ac:dyDescent="0.3">
      <c r="A1" s="73" t="s">
        <v>2</v>
      </c>
      <c r="B1" s="74"/>
      <c r="C1" s="75"/>
      <c r="E1" s="46" t="s">
        <v>410</v>
      </c>
      <c r="F1" s="47"/>
      <c r="G1" s="46"/>
      <c r="H1" s="52"/>
      <c r="I1" t="s">
        <v>412</v>
      </c>
      <c r="J1" s="70" t="s">
        <v>15</v>
      </c>
      <c r="K1" s="70"/>
      <c r="L1" s="70"/>
      <c r="M1" s="70"/>
      <c r="N1" s="70"/>
    </row>
    <row r="2" spans="1:14" x14ac:dyDescent="0.3">
      <c r="A2" s="32" t="s">
        <v>409</v>
      </c>
      <c r="B2" s="32" t="s">
        <v>3</v>
      </c>
      <c r="C2" s="41" t="s">
        <v>4</v>
      </c>
      <c r="D2" s="49"/>
      <c r="E2" s="44" t="s">
        <v>7</v>
      </c>
      <c r="F2" s="45" t="s">
        <v>8</v>
      </c>
      <c r="G2" s="50" t="s">
        <v>411</v>
      </c>
      <c r="H2" s="52"/>
      <c r="I2" s="51" t="s">
        <v>413</v>
      </c>
      <c r="J2" s="37" t="s">
        <v>16</v>
      </c>
      <c r="K2" s="42" t="s">
        <v>17</v>
      </c>
      <c r="L2" s="42" t="s">
        <v>18</v>
      </c>
      <c r="M2" s="42" t="s">
        <v>19</v>
      </c>
      <c r="N2" s="37" t="s">
        <v>20</v>
      </c>
    </row>
    <row r="3" spans="1:14" x14ac:dyDescent="0.3">
      <c r="A3" t="s">
        <v>757</v>
      </c>
      <c r="B3" s="25">
        <v>1</v>
      </c>
      <c r="C3" s="19" t="str">
        <f>K3</f>
        <v>BP_CVRBL_KEY</v>
      </c>
      <c r="E3" t="s">
        <v>756</v>
      </c>
      <c r="F3" s="31" t="s">
        <v>578</v>
      </c>
      <c r="G3" s="68" t="s">
        <v>755</v>
      </c>
      <c r="H3" s="76"/>
      <c r="I3" t="s">
        <v>759</v>
      </c>
      <c r="J3" s="31" t="s">
        <v>84</v>
      </c>
      <c r="K3" s="43" t="s">
        <v>494</v>
      </c>
      <c r="L3" s="43" t="s">
        <v>96</v>
      </c>
      <c r="M3" s="43" t="s">
        <v>99</v>
      </c>
    </row>
    <row r="4" spans="1:14" x14ac:dyDescent="0.3">
      <c r="A4" t="s">
        <v>757</v>
      </c>
      <c r="B4" s="25">
        <v>2</v>
      </c>
      <c r="C4" s="19" t="str">
        <f t="shared" ref="C4:C67" si="0">K4</f>
        <v>END_EFF_DT</v>
      </c>
      <c r="E4" t="s">
        <v>756</v>
      </c>
      <c r="F4" s="31" t="s">
        <v>579</v>
      </c>
      <c r="G4" s="77"/>
      <c r="H4" s="76"/>
      <c r="I4" t="s">
        <v>759</v>
      </c>
      <c r="J4" s="31" t="s">
        <v>88</v>
      </c>
      <c r="K4" s="43" t="s">
        <v>495</v>
      </c>
      <c r="L4" s="43" t="s">
        <v>97</v>
      </c>
      <c r="M4" s="43" t="s">
        <v>100</v>
      </c>
    </row>
    <row r="5" spans="1:14" x14ac:dyDescent="0.3">
      <c r="A5" t="s">
        <v>757</v>
      </c>
      <c r="B5" s="25">
        <v>3</v>
      </c>
      <c r="C5" s="19" t="str">
        <f t="shared" si="0"/>
        <v>BOP_CVRBL_ID</v>
      </c>
      <c r="E5" t="s">
        <v>756</v>
      </c>
      <c r="F5" s="31" t="s">
        <v>580</v>
      </c>
      <c r="G5" s="77"/>
      <c r="H5" s="76"/>
      <c r="I5" t="s">
        <v>759</v>
      </c>
      <c r="J5" s="31" t="s">
        <v>414</v>
      </c>
      <c r="K5" s="43" t="s">
        <v>496</v>
      </c>
      <c r="L5" s="43" t="s">
        <v>570</v>
      </c>
      <c r="M5" s="43" t="s">
        <v>276</v>
      </c>
    </row>
    <row r="6" spans="1:14" x14ac:dyDescent="0.3">
      <c r="A6" t="s">
        <v>757</v>
      </c>
      <c r="B6" s="25">
        <v>4</v>
      </c>
      <c r="C6" s="19" t="str">
        <f t="shared" si="0"/>
        <v>ETL_ROW_EFF_DTS</v>
      </c>
      <c r="E6" t="s">
        <v>756</v>
      </c>
      <c r="F6" s="31" t="s">
        <v>581</v>
      </c>
      <c r="G6" s="77"/>
      <c r="H6" s="76"/>
      <c r="I6" t="s">
        <v>759</v>
      </c>
      <c r="J6" s="31" t="s">
        <v>415</v>
      </c>
      <c r="K6" s="43" t="s">
        <v>497</v>
      </c>
      <c r="L6" s="43" t="s">
        <v>571</v>
      </c>
      <c r="M6" s="43" t="s">
        <v>123</v>
      </c>
    </row>
    <row r="7" spans="1:14" x14ac:dyDescent="0.3">
      <c r="A7" t="s">
        <v>757</v>
      </c>
      <c r="B7" s="25">
        <v>5</v>
      </c>
      <c r="C7" s="19" t="str">
        <f t="shared" si="0"/>
        <v>ETL_ROW_EXP_DTS</v>
      </c>
      <c r="E7" t="s">
        <v>756</v>
      </c>
      <c r="F7" s="31" t="s">
        <v>582</v>
      </c>
      <c r="G7" s="77"/>
      <c r="H7" s="76"/>
      <c r="I7" t="s">
        <v>759</v>
      </c>
      <c r="J7" s="31" t="s">
        <v>416</v>
      </c>
      <c r="K7" s="43" t="s">
        <v>498</v>
      </c>
      <c r="L7" s="43" t="s">
        <v>120</v>
      </c>
      <c r="M7" s="43" t="s">
        <v>123</v>
      </c>
    </row>
    <row r="8" spans="1:14" x14ac:dyDescent="0.3">
      <c r="A8" t="s">
        <v>757</v>
      </c>
      <c r="B8" s="25">
        <v>6</v>
      </c>
      <c r="C8" s="19" t="str">
        <f t="shared" si="0"/>
        <v>END_EXP_DT</v>
      </c>
      <c r="E8" t="s">
        <v>756</v>
      </c>
      <c r="F8" s="31" t="s">
        <v>583</v>
      </c>
      <c r="G8" s="77"/>
      <c r="H8" s="76"/>
      <c r="I8" t="s">
        <v>759</v>
      </c>
      <c r="J8" s="31" t="s">
        <v>89</v>
      </c>
      <c r="K8" s="43" t="s">
        <v>26</v>
      </c>
      <c r="L8" s="43" t="s">
        <v>572</v>
      </c>
      <c r="M8" s="43" t="s">
        <v>100</v>
      </c>
    </row>
    <row r="9" spans="1:14" x14ac:dyDescent="0.3">
      <c r="A9" t="s">
        <v>757</v>
      </c>
      <c r="B9" s="25">
        <v>7</v>
      </c>
      <c r="C9" s="19" t="str">
        <f t="shared" si="0"/>
        <v>SOURCE_SYSTEM</v>
      </c>
      <c r="E9" t="s">
        <v>756</v>
      </c>
      <c r="F9" s="31" t="s">
        <v>584</v>
      </c>
      <c r="G9" s="77"/>
      <c r="H9" s="76"/>
      <c r="I9" t="s">
        <v>759</v>
      </c>
      <c r="J9" s="31" t="s">
        <v>90</v>
      </c>
      <c r="K9" s="43" t="s">
        <v>27</v>
      </c>
      <c r="L9" s="43" t="s">
        <v>573</v>
      </c>
      <c r="M9" s="43" t="s">
        <v>101</v>
      </c>
    </row>
    <row r="10" spans="1:14" x14ac:dyDescent="0.3">
      <c r="A10" t="s">
        <v>757</v>
      </c>
      <c r="B10" s="25">
        <v>8</v>
      </c>
      <c r="C10" s="19" t="str">
        <f t="shared" si="0"/>
        <v>CVRBL_TYPE_CD</v>
      </c>
      <c r="E10" t="s">
        <v>756</v>
      </c>
      <c r="F10" s="31" t="s">
        <v>585</v>
      </c>
      <c r="G10" s="77"/>
      <c r="H10" s="76"/>
      <c r="I10" t="s">
        <v>759</v>
      </c>
      <c r="J10" s="31" t="s">
        <v>91</v>
      </c>
      <c r="K10" s="43" t="s">
        <v>28</v>
      </c>
      <c r="L10" s="43" t="s">
        <v>275</v>
      </c>
      <c r="M10" s="43" t="s">
        <v>102</v>
      </c>
    </row>
    <row r="11" spans="1:14" x14ac:dyDescent="0.3">
      <c r="A11" t="s">
        <v>757</v>
      </c>
      <c r="B11" s="25">
        <v>9</v>
      </c>
      <c r="C11" s="19" t="str">
        <f t="shared" si="0"/>
        <v>PREFD_COVG_CURR_CD</v>
      </c>
      <c r="E11" t="s">
        <v>756</v>
      </c>
      <c r="F11" s="31" t="s">
        <v>586</v>
      </c>
      <c r="G11" s="77"/>
      <c r="H11" s="76"/>
      <c r="I11" t="s">
        <v>759</v>
      </c>
      <c r="J11" s="31" t="s">
        <v>417</v>
      </c>
      <c r="K11" s="43" t="s">
        <v>29</v>
      </c>
      <c r="L11" s="43" t="s">
        <v>98</v>
      </c>
      <c r="M11" s="43" t="s">
        <v>102</v>
      </c>
    </row>
    <row r="12" spans="1:14" x14ac:dyDescent="0.3">
      <c r="A12" t="s">
        <v>757</v>
      </c>
      <c r="B12" s="25">
        <v>10</v>
      </c>
      <c r="C12" s="19" t="str">
        <f t="shared" si="0"/>
        <v>ETL_END_EFF_DTS</v>
      </c>
      <c r="E12" t="s">
        <v>756</v>
      </c>
      <c r="F12" s="31" t="s">
        <v>587</v>
      </c>
      <c r="G12" s="77"/>
      <c r="H12" s="76"/>
      <c r="I12" t="s">
        <v>759</v>
      </c>
      <c r="J12" s="31" t="s">
        <v>418</v>
      </c>
      <c r="K12" s="43" t="s">
        <v>499</v>
      </c>
      <c r="L12" s="43" t="s">
        <v>571</v>
      </c>
      <c r="M12" s="43" t="s">
        <v>123</v>
      </c>
    </row>
    <row r="13" spans="1:14" x14ac:dyDescent="0.3">
      <c r="A13" t="s">
        <v>757</v>
      </c>
      <c r="B13" s="25">
        <v>11</v>
      </c>
      <c r="C13" s="19" t="str">
        <f t="shared" si="0"/>
        <v>ETL_END_EXP_DTS</v>
      </c>
      <c r="E13" t="s">
        <v>756</v>
      </c>
      <c r="F13" s="31" t="s">
        <v>588</v>
      </c>
      <c r="G13" s="77"/>
      <c r="H13" s="76"/>
      <c r="I13" t="s">
        <v>759</v>
      </c>
      <c r="J13" s="31" t="s">
        <v>419</v>
      </c>
      <c r="K13" s="43" t="s">
        <v>500</v>
      </c>
      <c r="L13" s="43" t="s">
        <v>120</v>
      </c>
      <c r="M13" s="43" t="s">
        <v>123</v>
      </c>
    </row>
    <row r="14" spans="1:14" x14ac:dyDescent="0.3">
      <c r="A14" t="s">
        <v>757</v>
      </c>
      <c r="B14" s="25">
        <v>12</v>
      </c>
      <c r="C14" s="19" t="str">
        <f t="shared" si="0"/>
        <v>ROW_PROC_DTS</v>
      </c>
      <c r="E14" t="s">
        <v>756</v>
      </c>
      <c r="F14" s="31" t="s">
        <v>589</v>
      </c>
      <c r="G14" s="77"/>
      <c r="H14" s="76"/>
      <c r="I14" t="s">
        <v>759</v>
      </c>
      <c r="J14" s="31" t="s">
        <v>420</v>
      </c>
      <c r="K14" s="43" t="s">
        <v>501</v>
      </c>
      <c r="L14" s="43" t="s">
        <v>120</v>
      </c>
      <c r="M14" s="43" t="s">
        <v>123</v>
      </c>
    </row>
    <row r="15" spans="1:14" x14ac:dyDescent="0.3">
      <c r="A15" t="s">
        <v>757</v>
      </c>
      <c r="B15" s="25">
        <v>13</v>
      </c>
      <c r="C15" s="19" t="str">
        <f t="shared" si="0"/>
        <v>ETL_CURR_ROW_FL</v>
      </c>
      <c r="E15" t="s">
        <v>756</v>
      </c>
      <c r="F15" s="31" t="s">
        <v>590</v>
      </c>
      <c r="G15" s="77"/>
      <c r="H15" s="76"/>
      <c r="I15" t="s">
        <v>759</v>
      </c>
      <c r="J15" s="31" t="s">
        <v>421</v>
      </c>
      <c r="K15" s="43" t="s">
        <v>502</v>
      </c>
      <c r="L15" s="43" t="s">
        <v>121</v>
      </c>
      <c r="M15" s="43" t="s">
        <v>165</v>
      </c>
    </row>
    <row r="16" spans="1:14" x14ac:dyDescent="0.3">
      <c r="A16" t="s">
        <v>757</v>
      </c>
      <c r="B16" s="25">
        <v>14</v>
      </c>
      <c r="C16" s="19" t="str">
        <f t="shared" si="0"/>
        <v>ETL_LATE_ARRIVING_FL</v>
      </c>
      <c r="E16" t="s">
        <v>756</v>
      </c>
      <c r="F16" s="31" t="s">
        <v>591</v>
      </c>
      <c r="G16" s="77"/>
      <c r="H16" s="76"/>
      <c r="I16" t="s">
        <v>759</v>
      </c>
      <c r="J16" s="31" t="s">
        <v>422</v>
      </c>
      <c r="K16" s="43" t="s">
        <v>503</v>
      </c>
      <c r="L16" s="43" t="s">
        <v>121</v>
      </c>
      <c r="M16" s="43" t="s">
        <v>165</v>
      </c>
    </row>
    <row r="17" spans="1:13" x14ac:dyDescent="0.3">
      <c r="A17" t="s">
        <v>757</v>
      </c>
      <c r="B17" s="25">
        <v>15</v>
      </c>
      <c r="C17" s="19" t="str">
        <f t="shared" si="0"/>
        <v>POL_KEY</v>
      </c>
      <c r="E17" t="s">
        <v>756</v>
      </c>
      <c r="F17" s="31" t="s">
        <v>592</v>
      </c>
      <c r="G17" s="77"/>
      <c r="H17" s="76"/>
      <c r="I17" t="s">
        <v>759</v>
      </c>
      <c r="J17" s="31" t="s">
        <v>85</v>
      </c>
      <c r="K17" s="43" t="s">
        <v>504</v>
      </c>
      <c r="L17" s="43" t="s">
        <v>96</v>
      </c>
      <c r="M17" s="43" t="s">
        <v>99</v>
      </c>
    </row>
    <row r="18" spans="1:13" x14ac:dyDescent="0.3">
      <c r="A18" t="s">
        <v>757</v>
      </c>
      <c r="B18" s="25">
        <v>16</v>
      </c>
      <c r="C18" s="19" t="str">
        <f t="shared" si="0"/>
        <v>POL_LINE_KEY</v>
      </c>
      <c r="E18" t="s">
        <v>756</v>
      </c>
      <c r="F18" s="31" t="s">
        <v>593</v>
      </c>
      <c r="G18" s="77"/>
      <c r="H18" s="76"/>
      <c r="I18" t="s">
        <v>759</v>
      </c>
      <c r="J18" s="31" t="s">
        <v>86</v>
      </c>
      <c r="K18" s="43" t="s">
        <v>505</v>
      </c>
      <c r="L18" s="43" t="s">
        <v>96</v>
      </c>
      <c r="M18" s="43" t="s">
        <v>99</v>
      </c>
    </row>
    <row r="19" spans="1:13" x14ac:dyDescent="0.3">
      <c r="A19" t="s">
        <v>757</v>
      </c>
      <c r="B19" s="25">
        <v>17</v>
      </c>
      <c r="C19" s="19" t="str">
        <f t="shared" si="0"/>
        <v>CVRBL_TYPE_KEY</v>
      </c>
      <c r="E19" t="s">
        <v>756</v>
      </c>
      <c r="F19" s="31" t="s">
        <v>594</v>
      </c>
      <c r="G19" s="77"/>
      <c r="H19" s="76"/>
      <c r="I19" t="s">
        <v>759</v>
      </c>
      <c r="J19" s="31" t="s">
        <v>87</v>
      </c>
      <c r="K19" s="43" t="s">
        <v>506</v>
      </c>
      <c r="L19" s="43" t="s">
        <v>96</v>
      </c>
      <c r="M19" s="43" t="s">
        <v>99</v>
      </c>
    </row>
    <row r="20" spans="1:13" x14ac:dyDescent="0.3">
      <c r="A20" t="s">
        <v>757</v>
      </c>
      <c r="B20" s="25">
        <v>18</v>
      </c>
      <c r="C20" s="19" t="str">
        <f t="shared" si="0"/>
        <v>BL_BLDG_CD_EFF_GRADE</v>
      </c>
      <c r="E20" t="s">
        <v>756</v>
      </c>
      <c r="F20" s="31" t="s">
        <v>595</v>
      </c>
      <c r="G20" s="77"/>
      <c r="H20" s="76"/>
      <c r="I20" t="s">
        <v>759</v>
      </c>
      <c r="J20" s="31" t="s">
        <v>352</v>
      </c>
      <c r="K20" s="43" t="s">
        <v>329</v>
      </c>
      <c r="L20" s="43" t="s">
        <v>275</v>
      </c>
      <c r="M20" s="43" t="s">
        <v>102</v>
      </c>
    </row>
    <row r="21" spans="1:13" x14ac:dyDescent="0.3">
      <c r="A21" t="s">
        <v>757</v>
      </c>
      <c r="B21" s="25">
        <v>19</v>
      </c>
      <c r="C21" s="19" t="str">
        <f t="shared" si="0"/>
        <v>BL_BLDG_KEY (FK)</v>
      </c>
      <c r="E21" t="s">
        <v>756</v>
      </c>
      <c r="F21" s="31" t="s">
        <v>596</v>
      </c>
      <c r="G21" s="77"/>
      <c r="H21" s="76"/>
      <c r="I21" t="s">
        <v>759</v>
      </c>
      <c r="J21" s="31" t="s">
        <v>350</v>
      </c>
      <c r="K21" s="43" t="s">
        <v>327</v>
      </c>
      <c r="L21" s="43" t="s">
        <v>96</v>
      </c>
      <c r="M21" s="43" t="s">
        <v>99</v>
      </c>
    </row>
    <row r="22" spans="1:13" x14ac:dyDescent="0.3">
      <c r="A22" t="s">
        <v>757</v>
      </c>
      <c r="B22" s="25">
        <v>20</v>
      </c>
      <c r="C22" s="19" t="str">
        <f t="shared" si="0"/>
        <v>BL_BP_LOC_KEY (FK)</v>
      </c>
      <c r="E22" t="s">
        <v>756</v>
      </c>
      <c r="F22" s="31" t="s">
        <v>597</v>
      </c>
      <c r="G22" s="77"/>
      <c r="H22" s="76"/>
      <c r="I22" t="s">
        <v>759</v>
      </c>
      <c r="J22" s="31" t="s">
        <v>349</v>
      </c>
      <c r="K22" s="43" t="s">
        <v>326</v>
      </c>
      <c r="L22" s="43" t="s">
        <v>96</v>
      </c>
      <c r="M22" s="43" t="s">
        <v>99</v>
      </c>
    </row>
    <row r="23" spans="1:13" x14ac:dyDescent="0.3">
      <c r="A23" t="s">
        <v>757</v>
      </c>
      <c r="B23" s="25">
        <v>21</v>
      </c>
      <c r="C23" s="19" t="str">
        <f t="shared" si="0"/>
        <v>BL_CERTIFICATE_LEVEL</v>
      </c>
      <c r="E23" t="s">
        <v>756</v>
      </c>
      <c r="F23" s="31" t="s">
        <v>598</v>
      </c>
      <c r="G23" s="77"/>
      <c r="H23" s="76"/>
      <c r="I23" t="s">
        <v>759</v>
      </c>
      <c r="J23" s="31" t="s">
        <v>354</v>
      </c>
      <c r="K23" s="43" t="s">
        <v>332</v>
      </c>
      <c r="L23" s="43" t="s">
        <v>98</v>
      </c>
      <c r="M23" s="43" t="s">
        <v>102</v>
      </c>
    </row>
    <row r="24" spans="1:13" x14ac:dyDescent="0.3">
      <c r="A24" t="s">
        <v>757</v>
      </c>
      <c r="B24" s="25">
        <v>22</v>
      </c>
      <c r="C24" s="19" t="str">
        <f t="shared" si="0"/>
        <v>BL_PROP_TYPE</v>
      </c>
      <c r="E24" t="s">
        <v>756</v>
      </c>
      <c r="F24" s="31" t="s">
        <v>599</v>
      </c>
      <c r="G24" s="77"/>
      <c r="H24" s="76"/>
      <c r="I24" t="s">
        <v>759</v>
      </c>
      <c r="J24" s="31" t="s">
        <v>362</v>
      </c>
      <c r="K24" s="43" t="s">
        <v>340</v>
      </c>
      <c r="L24" s="43" t="s">
        <v>98</v>
      </c>
      <c r="M24" s="43" t="s">
        <v>102</v>
      </c>
    </row>
    <row r="25" spans="1:13" x14ac:dyDescent="0.3">
      <c r="A25" t="s">
        <v>757</v>
      </c>
      <c r="B25" s="25">
        <v>23</v>
      </c>
      <c r="C25" s="19" t="str">
        <f t="shared" si="0"/>
        <v>BL_RABOP_TYPE</v>
      </c>
      <c r="E25" t="s">
        <v>756</v>
      </c>
      <c r="F25" s="31" t="s">
        <v>600</v>
      </c>
      <c r="G25" s="77"/>
      <c r="H25" s="76"/>
      <c r="I25" t="s">
        <v>759</v>
      </c>
      <c r="J25" s="31" t="s">
        <v>213</v>
      </c>
      <c r="K25" s="43" t="s">
        <v>341</v>
      </c>
      <c r="L25" s="43" t="s">
        <v>98</v>
      </c>
      <c r="M25" s="43" t="s">
        <v>102</v>
      </c>
    </row>
    <row r="26" spans="1:13" x14ac:dyDescent="0.3">
      <c r="A26" t="s">
        <v>757</v>
      </c>
      <c r="B26" s="25">
        <v>24</v>
      </c>
      <c r="C26" s="19" t="str">
        <f t="shared" si="0"/>
        <v>BL_RABOP_TYPE_LIAB_LESSORS</v>
      </c>
      <c r="E26" t="s">
        <v>756</v>
      </c>
      <c r="F26" s="31" t="s">
        <v>601</v>
      </c>
      <c r="G26" s="77"/>
      <c r="H26" s="76"/>
      <c r="I26" t="s">
        <v>759</v>
      </c>
      <c r="J26" s="31" t="s">
        <v>363</v>
      </c>
      <c r="K26" s="43" t="s">
        <v>342</v>
      </c>
      <c r="L26" s="43" t="s">
        <v>98</v>
      </c>
      <c r="M26" s="43" t="s">
        <v>102</v>
      </c>
    </row>
    <row r="27" spans="1:13" x14ac:dyDescent="0.3">
      <c r="A27" t="s">
        <v>757</v>
      </c>
      <c r="B27" s="25">
        <v>25</v>
      </c>
      <c r="C27" s="19" t="str">
        <f t="shared" si="0"/>
        <v>BL_RABOP_WANTED</v>
      </c>
      <c r="E27" t="s">
        <v>756</v>
      </c>
      <c r="F27" s="31" t="s">
        <v>602</v>
      </c>
      <c r="G27" s="77"/>
      <c r="H27" s="76"/>
      <c r="I27" t="s">
        <v>759</v>
      </c>
      <c r="J27" s="31" t="s">
        <v>215</v>
      </c>
      <c r="K27" s="43" t="s">
        <v>343</v>
      </c>
      <c r="L27" s="43" t="s">
        <v>275</v>
      </c>
      <c r="M27" s="43" t="s">
        <v>102</v>
      </c>
    </row>
    <row r="28" spans="1:13" x14ac:dyDescent="0.3">
      <c r="A28" t="s">
        <v>757</v>
      </c>
      <c r="B28" s="25">
        <v>26</v>
      </c>
      <c r="C28" s="19" t="str">
        <f t="shared" si="0"/>
        <v>BL_SPRINKLERED</v>
      </c>
      <c r="E28" t="s">
        <v>756</v>
      </c>
      <c r="F28" s="31" t="s">
        <v>603</v>
      </c>
      <c r="G28" s="77"/>
      <c r="H28" s="76"/>
      <c r="I28" t="s">
        <v>759</v>
      </c>
      <c r="J28" s="31" t="s">
        <v>365</v>
      </c>
      <c r="K28" s="43" t="s">
        <v>345</v>
      </c>
      <c r="L28" s="43" t="s">
        <v>275</v>
      </c>
      <c r="M28" s="43" t="s">
        <v>102</v>
      </c>
    </row>
    <row r="29" spans="1:13" x14ac:dyDescent="0.3">
      <c r="A29" t="s">
        <v>757</v>
      </c>
      <c r="B29" s="25">
        <v>27</v>
      </c>
      <c r="C29" s="19" t="str">
        <f t="shared" si="0"/>
        <v>BL_TEXT</v>
      </c>
      <c r="E29" t="s">
        <v>756</v>
      </c>
      <c r="F29" s="31" t="s">
        <v>604</v>
      </c>
      <c r="G29" s="77"/>
      <c r="H29" s="76"/>
      <c r="I29" t="s">
        <v>759</v>
      </c>
      <c r="J29" s="31" t="s">
        <v>356</v>
      </c>
      <c r="K29" s="43" t="s">
        <v>334</v>
      </c>
      <c r="L29" s="43" t="s">
        <v>275</v>
      </c>
      <c r="M29" s="43" t="s">
        <v>102</v>
      </c>
    </row>
    <row r="30" spans="1:13" x14ac:dyDescent="0.3">
      <c r="A30" t="s">
        <v>757</v>
      </c>
      <c r="B30" s="25">
        <v>28</v>
      </c>
      <c r="C30" s="19" t="str">
        <f t="shared" si="0"/>
        <v>BL_WINDSTORM_MITIGATION_DISC_APPLIES</v>
      </c>
      <c r="E30" t="s">
        <v>756</v>
      </c>
      <c r="F30" s="31" t="s">
        <v>605</v>
      </c>
      <c r="G30" s="77"/>
      <c r="H30" s="76"/>
      <c r="I30" t="s">
        <v>759</v>
      </c>
      <c r="J30" s="31" t="s">
        <v>368</v>
      </c>
      <c r="K30" s="43" t="s">
        <v>318</v>
      </c>
      <c r="L30" s="43" t="s">
        <v>275</v>
      </c>
      <c r="M30" s="43" t="s">
        <v>102</v>
      </c>
    </row>
    <row r="31" spans="1:13" x14ac:dyDescent="0.3">
      <c r="A31" t="s">
        <v>757</v>
      </c>
      <c r="B31" s="25">
        <v>29</v>
      </c>
      <c r="C31" s="19" t="str">
        <f t="shared" si="0"/>
        <v>BL_WIND_CL</v>
      </c>
      <c r="E31" t="s">
        <v>756</v>
      </c>
      <c r="F31" s="31" t="s">
        <v>606</v>
      </c>
      <c r="G31" s="77"/>
      <c r="H31" s="76"/>
      <c r="I31" t="s">
        <v>759</v>
      </c>
      <c r="J31" s="31" t="s">
        <v>367</v>
      </c>
      <c r="K31" s="43" t="s">
        <v>347</v>
      </c>
      <c r="L31" s="43" t="s">
        <v>275</v>
      </c>
      <c r="M31" s="43" t="s">
        <v>102</v>
      </c>
    </row>
    <row r="32" spans="1:13" x14ac:dyDescent="0.3">
      <c r="A32" t="s">
        <v>757</v>
      </c>
      <c r="B32" s="25">
        <v>30</v>
      </c>
      <c r="C32" s="19" t="str">
        <f t="shared" si="0"/>
        <v>BL IS IT FINISHED</v>
      </c>
      <c r="E32" t="s">
        <v>756</v>
      </c>
      <c r="F32" s="31" t="s">
        <v>607</v>
      </c>
      <c r="G32" s="77"/>
      <c r="H32" s="76"/>
      <c r="I32" t="s">
        <v>759</v>
      </c>
      <c r="J32" s="31" t="s">
        <v>358</v>
      </c>
      <c r="K32" s="43" t="s">
        <v>507</v>
      </c>
      <c r="L32" s="43" t="s">
        <v>275</v>
      </c>
      <c r="M32" s="43" t="s">
        <v>576</v>
      </c>
    </row>
    <row r="33" spans="1:13" x14ac:dyDescent="0.3">
      <c r="A33" t="s">
        <v>757</v>
      </c>
      <c r="B33" s="25">
        <v>31</v>
      </c>
      <c r="C33" s="19" t="str">
        <f t="shared" si="0"/>
        <v>LO_CITY</v>
      </c>
      <c r="E33" t="s">
        <v>756</v>
      </c>
      <c r="F33" s="31" t="s">
        <v>608</v>
      </c>
      <c r="G33" s="77"/>
      <c r="H33" s="76"/>
      <c r="I33" t="s">
        <v>759</v>
      </c>
      <c r="J33" s="31" t="s">
        <v>134</v>
      </c>
      <c r="K33" s="43" t="s">
        <v>149</v>
      </c>
      <c r="L33" s="43" t="s">
        <v>275</v>
      </c>
      <c r="M33" s="43" t="s">
        <v>102</v>
      </c>
    </row>
    <row r="34" spans="1:13" x14ac:dyDescent="0.3">
      <c r="A34" t="s">
        <v>757</v>
      </c>
      <c r="B34" s="25">
        <v>32</v>
      </c>
      <c r="C34" s="19" t="str">
        <f t="shared" si="0"/>
        <v>LO_FIRE_PROT_CL_PPC</v>
      </c>
      <c r="E34" t="s">
        <v>756</v>
      </c>
      <c r="F34" s="31" t="s">
        <v>609</v>
      </c>
      <c r="G34" s="77"/>
      <c r="I34" t="s">
        <v>759</v>
      </c>
      <c r="J34" s="31" t="s">
        <v>137</v>
      </c>
      <c r="K34" s="43" t="s">
        <v>152</v>
      </c>
      <c r="L34" s="43" t="s">
        <v>275</v>
      </c>
      <c r="M34" s="43" t="s">
        <v>102</v>
      </c>
    </row>
    <row r="35" spans="1:13" x14ac:dyDescent="0.3">
      <c r="A35" t="s">
        <v>757</v>
      </c>
      <c r="B35" s="25">
        <v>33</v>
      </c>
      <c r="C35" s="19" t="str">
        <f t="shared" si="0"/>
        <v>LO_LOC_KEY (FK)</v>
      </c>
      <c r="E35" t="s">
        <v>756</v>
      </c>
      <c r="F35" s="31" t="s">
        <v>610</v>
      </c>
      <c r="G35" s="77"/>
      <c r="I35" t="s">
        <v>759</v>
      </c>
      <c r="J35" s="31" t="s">
        <v>133</v>
      </c>
      <c r="K35" s="43" t="s">
        <v>148</v>
      </c>
      <c r="L35" s="43" t="s">
        <v>96</v>
      </c>
      <c r="M35" s="43" t="s">
        <v>99</v>
      </c>
    </row>
    <row r="36" spans="1:13" x14ac:dyDescent="0.3">
      <c r="A36" t="s">
        <v>757</v>
      </c>
      <c r="B36" s="25">
        <v>34</v>
      </c>
      <c r="C36" s="19" t="str">
        <f t="shared" si="0"/>
        <v>LO_PPC_STATUS_EXT_CD</v>
      </c>
      <c r="E36" t="s">
        <v>756</v>
      </c>
      <c r="F36" s="31" t="s">
        <v>611</v>
      </c>
      <c r="G36" s="77"/>
      <c r="I36" t="s">
        <v>759</v>
      </c>
      <c r="J36" s="31" t="s">
        <v>140</v>
      </c>
      <c r="K36" s="43" t="s">
        <v>156</v>
      </c>
      <c r="L36" s="43" t="s">
        <v>275</v>
      </c>
      <c r="M36" s="43" t="s">
        <v>102</v>
      </c>
    </row>
    <row r="37" spans="1:13" x14ac:dyDescent="0.3">
      <c r="A37" t="s">
        <v>757</v>
      </c>
      <c r="B37" s="25">
        <v>35</v>
      </c>
      <c r="C37" s="19" t="str">
        <f t="shared" si="0"/>
        <v>LO_UNIT_NO</v>
      </c>
      <c r="E37" t="s">
        <v>756</v>
      </c>
      <c r="F37" s="31" t="s">
        <v>612</v>
      </c>
      <c r="G37" s="77"/>
      <c r="I37" t="s">
        <v>759</v>
      </c>
      <c r="J37" s="31" t="s">
        <v>144</v>
      </c>
      <c r="K37" s="43" t="s">
        <v>159</v>
      </c>
      <c r="L37" s="43" t="s">
        <v>274</v>
      </c>
      <c r="M37" s="43" t="s">
        <v>276</v>
      </c>
    </row>
    <row r="38" spans="1:13" x14ac:dyDescent="0.3">
      <c r="A38" t="s">
        <v>757</v>
      </c>
      <c r="B38" s="25">
        <v>36</v>
      </c>
      <c r="C38" s="19" t="str">
        <f t="shared" si="0"/>
        <v>LO_ZIP_CD</v>
      </c>
      <c r="E38" t="s">
        <v>756</v>
      </c>
      <c r="F38" s="31" t="s">
        <v>613</v>
      </c>
      <c r="G38" s="77"/>
      <c r="I38" t="s">
        <v>759</v>
      </c>
      <c r="J38" s="31" t="s">
        <v>145</v>
      </c>
      <c r="K38" s="43" t="s">
        <v>160</v>
      </c>
      <c r="L38" s="43" t="s">
        <v>98</v>
      </c>
      <c r="M38" s="43" t="s">
        <v>102</v>
      </c>
    </row>
    <row r="39" spans="1:13" x14ac:dyDescent="0.3">
      <c r="A39" t="s">
        <v>757</v>
      </c>
      <c r="B39" s="25">
        <v>37</v>
      </c>
      <c r="C39" s="19" t="str">
        <f t="shared" si="0"/>
        <v>LO_OVRD_PPC_EXT_FL</v>
      </c>
      <c r="E39" t="s">
        <v>756</v>
      </c>
      <c r="F39" s="31" t="s">
        <v>614</v>
      </c>
      <c r="G39" s="77"/>
      <c r="I39" t="s">
        <v>759</v>
      </c>
      <c r="J39" s="31" t="s">
        <v>139</v>
      </c>
      <c r="K39" s="43" t="s">
        <v>155</v>
      </c>
      <c r="L39" s="43" t="s">
        <v>121</v>
      </c>
      <c r="M39" s="43" t="s">
        <v>165</v>
      </c>
    </row>
    <row r="40" spans="1:13" x14ac:dyDescent="0.3">
      <c r="A40" t="s">
        <v>757</v>
      </c>
      <c r="B40" s="25">
        <v>38</v>
      </c>
      <c r="C40" s="19" t="str">
        <f t="shared" si="0"/>
        <v>LO_RATING_TERR</v>
      </c>
      <c r="E40" t="s">
        <v>756</v>
      </c>
      <c r="F40" s="31" t="s">
        <v>615</v>
      </c>
      <c r="G40" s="77"/>
      <c r="I40" t="s">
        <v>759</v>
      </c>
      <c r="J40" s="31" t="s">
        <v>143</v>
      </c>
      <c r="K40" s="43" t="s">
        <v>158</v>
      </c>
      <c r="L40" s="43" t="s">
        <v>98</v>
      </c>
      <c r="M40" s="43" t="s">
        <v>102</v>
      </c>
    </row>
    <row r="41" spans="1:13" x14ac:dyDescent="0.3">
      <c r="A41" t="s">
        <v>757</v>
      </c>
      <c r="B41" s="25">
        <v>39</v>
      </c>
      <c r="C41" s="19" t="str">
        <f t="shared" si="0"/>
        <v>LO_COUNTY</v>
      </c>
      <c r="E41" t="s">
        <v>756</v>
      </c>
      <c r="F41" s="31" t="s">
        <v>616</v>
      </c>
      <c r="G41" s="77"/>
      <c r="I41" t="s">
        <v>759</v>
      </c>
      <c r="J41" s="31" t="s">
        <v>135</v>
      </c>
      <c r="K41" s="43" t="s">
        <v>150</v>
      </c>
      <c r="L41" s="43" t="s">
        <v>275</v>
      </c>
      <c r="M41" s="43" t="s">
        <v>102</v>
      </c>
    </row>
    <row r="42" spans="1:13" x14ac:dyDescent="0.3">
      <c r="A42" t="s">
        <v>757</v>
      </c>
      <c r="B42" s="25">
        <v>40</v>
      </c>
      <c r="C42" s="19" t="str">
        <f t="shared" si="0"/>
        <v>JS_LIQUOR_LIAB_GRADE</v>
      </c>
      <c r="E42" t="s">
        <v>756</v>
      </c>
      <c r="F42" s="31" t="s">
        <v>617</v>
      </c>
      <c r="G42" s="77"/>
      <c r="I42" t="s">
        <v>759</v>
      </c>
      <c r="J42" s="31" t="s">
        <v>104</v>
      </c>
      <c r="K42" s="43" t="s">
        <v>32</v>
      </c>
      <c r="L42" s="43" t="s">
        <v>275</v>
      </c>
      <c r="M42" s="43" t="s">
        <v>102</v>
      </c>
    </row>
    <row r="43" spans="1:13" x14ac:dyDescent="0.3">
      <c r="A43" t="s">
        <v>757</v>
      </c>
      <c r="B43" s="25">
        <v>41</v>
      </c>
      <c r="C43" s="19" t="str">
        <f t="shared" si="0"/>
        <v>JS_LIQUOR_LIAB_GRADE_OFF_PREMISE</v>
      </c>
      <c r="E43" t="s">
        <v>756</v>
      </c>
      <c r="F43" s="31" t="s">
        <v>618</v>
      </c>
      <c r="G43" s="77"/>
      <c r="I43" t="s">
        <v>759</v>
      </c>
      <c r="J43" s="31" t="s">
        <v>105</v>
      </c>
      <c r="K43" s="43" t="s">
        <v>33</v>
      </c>
      <c r="L43" s="43" t="s">
        <v>275</v>
      </c>
      <c r="M43" s="43" t="s">
        <v>102</v>
      </c>
    </row>
    <row r="44" spans="1:13" x14ac:dyDescent="0.3">
      <c r="A44" t="s">
        <v>757</v>
      </c>
      <c r="B44" s="25">
        <v>42</v>
      </c>
      <c r="C44" s="19" t="str">
        <f t="shared" si="0"/>
        <v>JS_LIQUOR_LIAB_GRADE_ON_PREMISE</v>
      </c>
      <c r="E44" t="s">
        <v>756</v>
      </c>
      <c r="F44" s="31" t="s">
        <v>619</v>
      </c>
      <c r="G44" s="77"/>
      <c r="I44" t="s">
        <v>759</v>
      </c>
      <c r="J44" s="31" t="s">
        <v>106</v>
      </c>
      <c r="K44" s="43" t="s">
        <v>34</v>
      </c>
      <c r="L44" s="43" t="s">
        <v>98</v>
      </c>
      <c r="M44" s="43" t="s">
        <v>102</v>
      </c>
    </row>
    <row r="45" spans="1:13" x14ac:dyDescent="0.3">
      <c r="A45" t="s">
        <v>757</v>
      </c>
      <c r="B45" s="25">
        <v>43</v>
      </c>
      <c r="C45" s="19" t="str">
        <f t="shared" si="0"/>
        <v>JS_STATE_CD</v>
      </c>
      <c r="E45" t="s">
        <v>756</v>
      </c>
      <c r="F45" s="31" t="s">
        <v>620</v>
      </c>
      <c r="G45" s="77"/>
      <c r="I45" t="s">
        <v>759</v>
      </c>
      <c r="J45" s="31" t="s">
        <v>103</v>
      </c>
      <c r="K45" s="43" t="s">
        <v>31</v>
      </c>
      <c r="L45" s="43" t="s">
        <v>98</v>
      </c>
      <c r="M45" s="43" t="s">
        <v>102</v>
      </c>
    </row>
    <row r="46" spans="1:13" x14ac:dyDescent="0.3">
      <c r="A46" t="s">
        <v>757</v>
      </c>
      <c r="B46" s="25">
        <v>44</v>
      </c>
      <c r="C46" s="19" t="str">
        <f t="shared" si="0"/>
        <v>BL_BASEMENT_PRESENT</v>
      </c>
      <c r="E46" t="s">
        <v>756</v>
      </c>
      <c r="F46" s="31" t="s">
        <v>621</v>
      </c>
      <c r="G46" s="77"/>
      <c r="I46" t="s">
        <v>759</v>
      </c>
      <c r="J46" s="31" t="s">
        <v>351</v>
      </c>
      <c r="K46" s="43" t="s">
        <v>328</v>
      </c>
      <c r="L46" s="43" t="s">
        <v>98</v>
      </c>
      <c r="M46" s="43" t="s">
        <v>102</v>
      </c>
    </row>
    <row r="47" spans="1:13" x14ac:dyDescent="0.3">
      <c r="A47" t="s">
        <v>757</v>
      </c>
      <c r="B47" s="25">
        <v>45</v>
      </c>
      <c r="C47" s="19" t="str">
        <f t="shared" si="0"/>
        <v>BL_CONSTR_TYPE</v>
      </c>
      <c r="E47" t="s">
        <v>756</v>
      </c>
      <c r="F47" s="31" t="s">
        <v>622</v>
      </c>
      <c r="G47" s="77"/>
      <c r="I47" t="s">
        <v>759</v>
      </c>
      <c r="J47" s="31" t="s">
        <v>355</v>
      </c>
      <c r="K47" s="43" t="s">
        <v>333</v>
      </c>
      <c r="L47" s="43" t="s">
        <v>98</v>
      </c>
      <c r="M47" s="43" t="s">
        <v>102</v>
      </c>
    </row>
    <row r="48" spans="1:13" x14ac:dyDescent="0.3">
      <c r="A48" t="s">
        <v>757</v>
      </c>
      <c r="B48" s="25">
        <v>46</v>
      </c>
      <c r="C48" s="19" t="str">
        <f t="shared" si="0"/>
        <v>BL_NO_OF_STORIES</v>
      </c>
      <c r="E48" t="s">
        <v>756</v>
      </c>
      <c r="F48" s="31" t="s">
        <v>623</v>
      </c>
      <c r="G48" s="77"/>
      <c r="I48" t="s">
        <v>759</v>
      </c>
      <c r="J48" s="31" t="s">
        <v>359</v>
      </c>
      <c r="K48" s="43" t="s">
        <v>337</v>
      </c>
      <c r="L48" s="43" t="s">
        <v>274</v>
      </c>
      <c r="M48" s="43" t="s">
        <v>276</v>
      </c>
    </row>
    <row r="49" spans="1:13" ht="28.8" x14ac:dyDescent="0.3">
      <c r="A49" t="s">
        <v>757</v>
      </c>
      <c r="B49" s="25">
        <v>47</v>
      </c>
      <c r="C49" s="19" t="str">
        <f t="shared" si="0"/>
        <v>BL_PREDOMINANTLY_RESIDENTIAL_AND_FOUR_OR_LESS_UNITS</v>
      </c>
      <c r="E49" t="s">
        <v>756</v>
      </c>
      <c r="F49" s="31" t="s">
        <v>624</v>
      </c>
      <c r="G49" s="77"/>
      <c r="I49" t="s">
        <v>759</v>
      </c>
      <c r="J49" s="31" t="s">
        <v>361</v>
      </c>
      <c r="K49" s="43" t="s">
        <v>339</v>
      </c>
      <c r="L49" s="43" t="s">
        <v>275</v>
      </c>
      <c r="M49" s="43" t="s">
        <v>102</v>
      </c>
    </row>
    <row r="50" spans="1:13" x14ac:dyDescent="0.3">
      <c r="A50" t="s">
        <v>757</v>
      </c>
      <c r="B50" s="25">
        <v>48</v>
      </c>
      <c r="C50" s="19" t="str">
        <f t="shared" si="0"/>
        <v>BL_ROOF_TYPE</v>
      </c>
      <c r="E50" t="s">
        <v>756</v>
      </c>
      <c r="F50" s="31" t="s">
        <v>625</v>
      </c>
      <c r="G50" s="77"/>
      <c r="I50" t="s">
        <v>759</v>
      </c>
      <c r="J50" s="31" t="s">
        <v>364</v>
      </c>
      <c r="K50" s="43" t="s">
        <v>344</v>
      </c>
      <c r="L50" s="43" t="s">
        <v>275</v>
      </c>
      <c r="M50" s="43" t="s">
        <v>102</v>
      </c>
    </row>
    <row r="51" spans="1:13" x14ac:dyDescent="0.3">
      <c r="A51" t="s">
        <v>757</v>
      </c>
      <c r="B51" s="25">
        <v>49</v>
      </c>
      <c r="C51" s="19" t="str">
        <f t="shared" si="0"/>
        <v>BL_YR_HEATING_REPLACED</v>
      </c>
      <c r="E51" t="s">
        <v>756</v>
      </c>
      <c r="F51" s="31" t="s">
        <v>626</v>
      </c>
      <c r="G51" s="77"/>
      <c r="I51" t="s">
        <v>759</v>
      </c>
      <c r="J51" s="31" t="s">
        <v>369</v>
      </c>
      <c r="K51" s="43" t="s">
        <v>319</v>
      </c>
      <c r="L51" s="43" t="s">
        <v>274</v>
      </c>
      <c r="M51" s="43" t="s">
        <v>276</v>
      </c>
    </row>
    <row r="52" spans="1:13" x14ac:dyDescent="0.3">
      <c r="A52" t="s">
        <v>757</v>
      </c>
      <c r="B52" s="25">
        <v>50</v>
      </c>
      <c r="C52" s="19" t="str">
        <f t="shared" si="0"/>
        <v>BL_YR_OF_CONSTR</v>
      </c>
      <c r="E52" t="s">
        <v>756</v>
      </c>
      <c r="F52" s="31" t="s">
        <v>627</v>
      </c>
      <c r="G52" s="77"/>
      <c r="I52" t="s">
        <v>759</v>
      </c>
      <c r="J52" s="31" t="s">
        <v>370</v>
      </c>
      <c r="K52" s="43" t="s">
        <v>320</v>
      </c>
      <c r="L52" s="43" t="s">
        <v>274</v>
      </c>
      <c r="M52" s="43" t="s">
        <v>276</v>
      </c>
    </row>
    <row r="53" spans="1:13" x14ac:dyDescent="0.3">
      <c r="A53" t="s">
        <v>757</v>
      </c>
      <c r="B53" s="25">
        <v>51</v>
      </c>
      <c r="C53" s="19" t="str">
        <f t="shared" si="0"/>
        <v>BL_YR_PLUMBING_REPLACED</v>
      </c>
      <c r="E53" t="s">
        <v>756</v>
      </c>
      <c r="F53" s="31" t="s">
        <v>628</v>
      </c>
      <c r="G53" s="77"/>
      <c r="I53" t="s">
        <v>759</v>
      </c>
      <c r="J53" s="31" t="s">
        <v>371</v>
      </c>
      <c r="K53" s="43" t="s">
        <v>321</v>
      </c>
      <c r="L53" s="43" t="s">
        <v>274</v>
      </c>
      <c r="M53" s="43" t="s">
        <v>276</v>
      </c>
    </row>
    <row r="54" spans="1:13" x14ac:dyDescent="0.3">
      <c r="A54" t="s">
        <v>757</v>
      </c>
      <c r="B54" s="25">
        <v>52</v>
      </c>
      <c r="C54" s="19" t="str">
        <f t="shared" si="0"/>
        <v>BL_YR_ROOFING_REPLACED</v>
      </c>
      <c r="E54" t="s">
        <v>756</v>
      </c>
      <c r="F54" s="31" t="s">
        <v>629</v>
      </c>
      <c r="G54" s="77"/>
      <c r="I54" t="s">
        <v>759</v>
      </c>
      <c r="J54" s="31" t="s">
        <v>372</v>
      </c>
      <c r="K54" s="43" t="s">
        <v>322</v>
      </c>
      <c r="L54" s="43" t="s">
        <v>274</v>
      </c>
      <c r="M54" s="43" t="s">
        <v>276</v>
      </c>
    </row>
    <row r="55" spans="1:13" x14ac:dyDescent="0.3">
      <c r="A55" t="s">
        <v>757</v>
      </c>
      <c r="B55" s="25">
        <v>53</v>
      </c>
      <c r="C55" s="19" t="str">
        <f t="shared" si="0"/>
        <v>BL_YR_WIRING_REPLACED</v>
      </c>
      <c r="E55" t="s">
        <v>756</v>
      </c>
      <c r="F55" s="31" t="s">
        <v>630</v>
      </c>
      <c r="G55" s="77"/>
      <c r="I55" t="s">
        <v>759</v>
      </c>
      <c r="J55" s="31" t="s">
        <v>373</v>
      </c>
      <c r="K55" s="43" t="s">
        <v>323</v>
      </c>
      <c r="L55" s="43" t="s">
        <v>274</v>
      </c>
      <c r="M55" s="43" t="s">
        <v>276</v>
      </c>
    </row>
    <row r="56" spans="1:13" x14ac:dyDescent="0.3">
      <c r="A56" t="s">
        <v>757</v>
      </c>
      <c r="B56" s="25">
        <v>54</v>
      </c>
      <c r="C56" s="19" t="str">
        <f t="shared" si="0"/>
        <v>BL_BLKT_ID_NO</v>
      </c>
      <c r="E56" t="s">
        <v>756</v>
      </c>
      <c r="F56" s="31" t="s">
        <v>631</v>
      </c>
      <c r="G56" s="77"/>
      <c r="I56" t="s">
        <v>759</v>
      </c>
      <c r="J56" s="31" t="s">
        <v>200</v>
      </c>
      <c r="K56" s="43" t="s">
        <v>331</v>
      </c>
      <c r="L56" s="43" t="s">
        <v>274</v>
      </c>
      <c r="M56" s="43" t="s">
        <v>276</v>
      </c>
    </row>
    <row r="57" spans="1:13" x14ac:dyDescent="0.3">
      <c r="A57" t="s">
        <v>757</v>
      </c>
      <c r="B57" s="25">
        <v>55</v>
      </c>
      <c r="C57" s="19" t="str">
        <f t="shared" si="0"/>
        <v>BL_IBHS_CERTIFICATE_TYPE</v>
      </c>
      <c r="E57" t="s">
        <v>756</v>
      </c>
      <c r="F57" s="31" t="s">
        <v>632</v>
      </c>
      <c r="G57" s="77"/>
      <c r="I57" t="s">
        <v>759</v>
      </c>
      <c r="J57" s="31" t="s">
        <v>357</v>
      </c>
      <c r="K57" s="43" t="s">
        <v>335</v>
      </c>
      <c r="L57" s="43" t="s">
        <v>98</v>
      </c>
      <c r="M57" s="43" t="s">
        <v>102</v>
      </c>
    </row>
    <row r="58" spans="1:13" x14ac:dyDescent="0.3">
      <c r="A58" t="s">
        <v>757</v>
      </c>
      <c r="B58" s="25">
        <v>56</v>
      </c>
      <c r="C58" s="19" t="str">
        <f t="shared" si="0"/>
        <v>BL_PCT_OWNER_OCCUPIED</v>
      </c>
      <c r="E58" t="s">
        <v>756</v>
      </c>
      <c r="F58" s="31" t="s">
        <v>633</v>
      </c>
      <c r="G58" s="77"/>
      <c r="I58" t="s">
        <v>759</v>
      </c>
      <c r="J58" s="31" t="s">
        <v>360</v>
      </c>
      <c r="K58" s="43" t="s">
        <v>338</v>
      </c>
      <c r="L58" s="43" t="s">
        <v>98</v>
      </c>
      <c r="M58" s="43" t="s">
        <v>102</v>
      </c>
    </row>
    <row r="59" spans="1:13" x14ac:dyDescent="0.3">
      <c r="A59" t="s">
        <v>757</v>
      </c>
      <c r="B59" s="25">
        <v>57</v>
      </c>
      <c r="C59" s="19" t="str">
        <f t="shared" si="0"/>
        <v>LO_FEET_TO_HYDRANT</v>
      </c>
      <c r="E59" t="s">
        <v>756</v>
      </c>
      <c r="F59" s="31" t="s">
        <v>634</v>
      </c>
      <c r="G59" s="77"/>
      <c r="I59" t="s">
        <v>759</v>
      </c>
      <c r="J59" s="31" t="s">
        <v>136</v>
      </c>
      <c r="K59" s="43" t="s">
        <v>151</v>
      </c>
      <c r="L59" s="43" t="s">
        <v>98</v>
      </c>
      <c r="M59" s="43" t="s">
        <v>102</v>
      </c>
    </row>
    <row r="60" spans="1:13" x14ac:dyDescent="0.3">
      <c r="A60" t="s">
        <v>757</v>
      </c>
      <c r="B60" s="25">
        <v>58</v>
      </c>
      <c r="C60" s="19" t="str">
        <f t="shared" si="0"/>
        <v>LO_IS_DIST_FIRE_HYDRANT_AVL_EXT_FL</v>
      </c>
      <c r="E60" t="s">
        <v>756</v>
      </c>
      <c r="F60" s="31" t="s">
        <v>635</v>
      </c>
      <c r="G60" s="77"/>
      <c r="I60" t="s">
        <v>759</v>
      </c>
      <c r="J60" s="31" t="s">
        <v>141</v>
      </c>
      <c r="K60" s="43" t="s">
        <v>153</v>
      </c>
      <c r="L60" s="43" t="s">
        <v>121</v>
      </c>
      <c r="M60" s="43" t="s">
        <v>165</v>
      </c>
    </row>
    <row r="61" spans="1:13" x14ac:dyDescent="0.3">
      <c r="A61" t="s">
        <v>757</v>
      </c>
      <c r="B61" s="25">
        <v>59</v>
      </c>
      <c r="C61" s="19" t="str">
        <f t="shared" si="0"/>
        <v>LO_OLD_PROTECT_CL_EXT</v>
      </c>
      <c r="E61" t="s">
        <v>756</v>
      </c>
      <c r="F61" s="31" t="s">
        <v>636</v>
      </c>
      <c r="G61" s="77"/>
      <c r="I61" t="s">
        <v>759</v>
      </c>
      <c r="J61" s="31" t="s">
        <v>138</v>
      </c>
      <c r="K61" s="43" t="s">
        <v>154</v>
      </c>
      <c r="L61" s="43" t="s">
        <v>98</v>
      </c>
      <c r="M61" s="43" t="s">
        <v>102</v>
      </c>
    </row>
    <row r="62" spans="1:13" x14ac:dyDescent="0.3">
      <c r="A62" t="s">
        <v>757</v>
      </c>
      <c r="B62" s="25">
        <v>60</v>
      </c>
      <c r="C62" s="19" t="str">
        <f t="shared" si="0"/>
        <v>LO_PRIV FIRE DEPT</v>
      </c>
      <c r="E62" t="s">
        <v>756</v>
      </c>
      <c r="F62" s="31" t="s">
        <v>637</v>
      </c>
      <c r="G62" s="77"/>
      <c r="I62" t="s">
        <v>759</v>
      </c>
      <c r="J62" s="31" t="s">
        <v>142</v>
      </c>
      <c r="K62" s="43" t="s">
        <v>508</v>
      </c>
      <c r="L62" s="43" t="s">
        <v>275</v>
      </c>
      <c r="M62" s="43" t="s">
        <v>102</v>
      </c>
    </row>
    <row r="63" spans="1:13" ht="28.8" x14ac:dyDescent="0.3">
      <c r="A63" t="s">
        <v>757</v>
      </c>
      <c r="B63" s="25">
        <v>61</v>
      </c>
      <c r="C63" s="19" t="str">
        <f t="shared" si="0"/>
        <v>BL_TOT_CONDOMINIUM_BLDG_SQUARE_FOOTAGE</v>
      </c>
      <c r="E63" t="s">
        <v>756</v>
      </c>
      <c r="F63" s="31" t="s">
        <v>638</v>
      </c>
      <c r="G63" s="77"/>
      <c r="I63" t="s">
        <v>759</v>
      </c>
      <c r="J63" s="31" t="s">
        <v>366</v>
      </c>
      <c r="K63" s="43" t="s">
        <v>346</v>
      </c>
      <c r="L63" s="43" t="s">
        <v>274</v>
      </c>
      <c r="M63" s="43" t="s">
        <v>276</v>
      </c>
    </row>
    <row r="64" spans="1:13" x14ac:dyDescent="0.3">
      <c r="A64" t="s">
        <v>757</v>
      </c>
      <c r="B64" s="25">
        <v>62</v>
      </c>
      <c r="C64" s="19" t="str">
        <f t="shared" si="0"/>
        <v>ETL_ADD_DTS</v>
      </c>
      <c r="E64" t="s">
        <v>756</v>
      </c>
      <c r="F64" s="31" t="s">
        <v>639</v>
      </c>
      <c r="G64" s="77"/>
      <c r="I64" t="s">
        <v>759</v>
      </c>
      <c r="J64" s="31" t="s">
        <v>423</v>
      </c>
      <c r="K64" s="43" t="s">
        <v>509</v>
      </c>
      <c r="L64" s="43" t="s">
        <v>120</v>
      </c>
      <c r="M64" s="43" t="s">
        <v>123</v>
      </c>
    </row>
    <row r="65" spans="1:13" x14ac:dyDescent="0.3">
      <c r="A65" t="s">
        <v>757</v>
      </c>
      <c r="B65" s="25">
        <v>63</v>
      </c>
      <c r="C65" s="19" t="str">
        <f t="shared" si="0"/>
        <v>ETL_LAST_UPDATE_DTS</v>
      </c>
      <c r="E65" t="s">
        <v>756</v>
      </c>
      <c r="F65" s="31" t="s">
        <v>640</v>
      </c>
      <c r="G65" s="77"/>
      <c r="I65" t="s">
        <v>759</v>
      </c>
      <c r="J65" s="31" t="s">
        <v>424</v>
      </c>
      <c r="K65" s="43" t="s">
        <v>510</v>
      </c>
      <c r="L65" s="43" t="s">
        <v>120</v>
      </c>
      <c r="M65" s="43" t="s">
        <v>123</v>
      </c>
    </row>
    <row r="66" spans="1:13" x14ac:dyDescent="0.3">
      <c r="A66" t="s">
        <v>757</v>
      </c>
      <c r="B66" s="25">
        <v>64</v>
      </c>
      <c r="C66" s="19" t="str">
        <f t="shared" si="0"/>
        <v>JS_STATE_CCD</v>
      </c>
      <c r="E66" t="s">
        <v>756</v>
      </c>
      <c r="F66" s="31" t="s">
        <v>641</v>
      </c>
      <c r="I66" t="s">
        <v>759</v>
      </c>
      <c r="J66" s="31" t="s">
        <v>103</v>
      </c>
      <c r="K66" s="43" t="s">
        <v>511</v>
      </c>
      <c r="L66" s="43" t="s">
        <v>574</v>
      </c>
      <c r="M66" s="43" t="s">
        <v>102</v>
      </c>
    </row>
    <row r="67" spans="1:13" x14ac:dyDescent="0.3">
      <c r="A67" t="s">
        <v>757</v>
      </c>
      <c r="B67" s="25">
        <v>65</v>
      </c>
      <c r="C67" s="19" t="str">
        <f t="shared" si="0"/>
        <v>JS_STATE_CD_CST</v>
      </c>
      <c r="E67" t="s">
        <v>756</v>
      </c>
      <c r="F67" s="31" t="s">
        <v>642</v>
      </c>
      <c r="I67" t="s">
        <v>759</v>
      </c>
      <c r="J67" s="31" t="s">
        <v>425</v>
      </c>
      <c r="K67" s="43" t="s">
        <v>512</v>
      </c>
      <c r="L67" s="43" t="s">
        <v>574</v>
      </c>
      <c r="M67" s="43" t="s">
        <v>102</v>
      </c>
    </row>
    <row r="68" spans="1:13" x14ac:dyDescent="0.3">
      <c r="A68" t="s">
        <v>757</v>
      </c>
      <c r="B68" s="25">
        <v>66</v>
      </c>
      <c r="C68" s="19" t="str">
        <f t="shared" ref="C68:C131" si="1">K68</f>
        <v>JS_STATE_CD_CLT</v>
      </c>
      <c r="E68" t="s">
        <v>756</v>
      </c>
      <c r="F68" s="31" t="s">
        <v>643</v>
      </c>
      <c r="I68" t="s">
        <v>759</v>
      </c>
      <c r="J68" s="31" t="s">
        <v>426</v>
      </c>
      <c r="K68" s="43" t="s">
        <v>513</v>
      </c>
      <c r="L68" s="43" t="s">
        <v>758</v>
      </c>
      <c r="M68" s="43" t="s">
        <v>102</v>
      </c>
    </row>
    <row r="69" spans="1:13" x14ac:dyDescent="0.3">
      <c r="A69" t="s">
        <v>757</v>
      </c>
      <c r="B69" s="25">
        <v>67</v>
      </c>
      <c r="C69" s="19" t="str">
        <f t="shared" si="1"/>
        <v>BL_ROOF_AGE</v>
      </c>
      <c r="E69" t="s">
        <v>756</v>
      </c>
      <c r="F69" s="31" t="s">
        <v>644</v>
      </c>
      <c r="I69" t="s">
        <v>759</v>
      </c>
      <c r="J69" s="31" t="s">
        <v>427</v>
      </c>
      <c r="K69" s="43" t="s">
        <v>514</v>
      </c>
      <c r="L69" s="43" t="s">
        <v>275</v>
      </c>
      <c r="M69" s="43" t="s">
        <v>102</v>
      </c>
    </row>
    <row r="70" spans="1:13" x14ac:dyDescent="0.3">
      <c r="A70" t="s">
        <v>757</v>
      </c>
      <c r="B70" s="25">
        <v>68</v>
      </c>
      <c r="C70" s="19" t="str">
        <f t="shared" si="1"/>
        <v>BL_BUILDING_CODE</v>
      </c>
      <c r="E70" t="s">
        <v>756</v>
      </c>
      <c r="F70" s="31" t="s">
        <v>645</v>
      </c>
      <c r="I70" t="s">
        <v>759</v>
      </c>
      <c r="J70" s="31" t="s">
        <v>428</v>
      </c>
      <c r="K70" s="43" t="s">
        <v>515</v>
      </c>
      <c r="L70" s="43" t="s">
        <v>275</v>
      </c>
      <c r="M70" s="43" t="s">
        <v>102</v>
      </c>
    </row>
    <row r="71" spans="1:13" x14ac:dyDescent="0.3">
      <c r="A71" t="s">
        <v>757</v>
      </c>
      <c r="B71" s="25">
        <v>69</v>
      </c>
      <c r="C71" s="19" t="str">
        <f t="shared" si="1"/>
        <v>BL_ROOF_DECK</v>
      </c>
      <c r="E71" t="s">
        <v>756</v>
      </c>
      <c r="F71" s="31" t="s">
        <v>646</v>
      </c>
      <c r="I71" t="s">
        <v>759</v>
      </c>
      <c r="J71" s="31" t="s">
        <v>429</v>
      </c>
      <c r="K71" s="43" t="s">
        <v>516</v>
      </c>
      <c r="L71" s="43" t="s">
        <v>275</v>
      </c>
      <c r="M71" s="43" t="s">
        <v>102</v>
      </c>
    </row>
    <row r="72" spans="1:13" x14ac:dyDescent="0.3">
      <c r="A72" t="s">
        <v>757</v>
      </c>
      <c r="B72" s="25">
        <v>70</v>
      </c>
      <c r="C72" s="19" t="str">
        <f t="shared" si="1"/>
        <v>BL_STRUCTURE_TYPE</v>
      </c>
      <c r="E72" t="s">
        <v>756</v>
      </c>
      <c r="F72" s="31" t="s">
        <v>647</v>
      </c>
      <c r="I72" t="s">
        <v>759</v>
      </c>
      <c r="J72" s="31" t="s">
        <v>430</v>
      </c>
      <c r="K72" s="43" t="s">
        <v>517</v>
      </c>
      <c r="L72" s="43" t="s">
        <v>275</v>
      </c>
      <c r="M72" s="43" t="s">
        <v>102</v>
      </c>
    </row>
    <row r="73" spans="1:13" x14ac:dyDescent="0.3">
      <c r="A73" t="s">
        <v>757</v>
      </c>
      <c r="B73" s="25">
        <v>71</v>
      </c>
      <c r="C73" s="19" t="str">
        <f t="shared" si="1"/>
        <v>BL_MINE_SUB_SIDENCE_APPLIES</v>
      </c>
      <c r="E73" t="s">
        <v>756</v>
      </c>
      <c r="F73" s="31" t="s">
        <v>648</v>
      </c>
      <c r="I73" t="s">
        <v>759</v>
      </c>
      <c r="J73" s="31" t="s">
        <v>431</v>
      </c>
      <c r="K73" s="43" t="s">
        <v>518</v>
      </c>
      <c r="L73" s="43" t="s">
        <v>98</v>
      </c>
      <c r="M73" s="43" t="s">
        <v>102</v>
      </c>
    </row>
    <row r="74" spans="1:13" x14ac:dyDescent="0.3">
      <c r="A74" t="s">
        <v>757</v>
      </c>
      <c r="B74" s="25">
        <v>72</v>
      </c>
      <c r="C74" s="19" t="str">
        <f t="shared" si="1"/>
        <v>BL_ROOF_WALL_CONNECTION</v>
      </c>
      <c r="E74" t="s">
        <v>756</v>
      </c>
      <c r="F74" s="31" t="s">
        <v>649</v>
      </c>
      <c r="I74" t="s">
        <v>759</v>
      </c>
      <c r="J74" s="31" t="s">
        <v>432</v>
      </c>
      <c r="K74" s="43" t="s">
        <v>519</v>
      </c>
      <c r="L74" s="43" t="s">
        <v>98</v>
      </c>
      <c r="M74" s="43" t="s">
        <v>102</v>
      </c>
    </row>
    <row r="75" spans="1:13" x14ac:dyDescent="0.3">
      <c r="A75" t="s">
        <v>757</v>
      </c>
      <c r="B75" s="25">
        <v>73</v>
      </c>
      <c r="C75" s="19" t="str">
        <f t="shared" si="1"/>
        <v>BL_ROOF_MATERIAL</v>
      </c>
      <c r="E75" t="s">
        <v>756</v>
      </c>
      <c r="F75" s="31" t="s">
        <v>650</v>
      </c>
      <c r="I75" t="s">
        <v>759</v>
      </c>
      <c r="J75" s="31" t="s">
        <v>433</v>
      </c>
      <c r="K75" s="43" t="s">
        <v>520</v>
      </c>
      <c r="L75" s="43" t="s">
        <v>98</v>
      </c>
      <c r="M75" s="43" t="s">
        <v>102</v>
      </c>
    </row>
    <row r="76" spans="1:13" x14ac:dyDescent="0.3">
      <c r="A76" t="s">
        <v>757</v>
      </c>
      <c r="B76" s="25">
        <v>74</v>
      </c>
      <c r="C76" s="19" t="str">
        <f t="shared" si="1"/>
        <v>BL_WIND_STORM_INCLUDED</v>
      </c>
      <c r="E76" t="s">
        <v>756</v>
      </c>
      <c r="F76" s="31" t="s">
        <v>651</v>
      </c>
      <c r="I76" t="s">
        <v>759</v>
      </c>
      <c r="J76" s="31" t="s">
        <v>434</v>
      </c>
      <c r="K76" s="43" t="s">
        <v>521</v>
      </c>
      <c r="L76" s="43" t="s">
        <v>275</v>
      </c>
      <c r="M76" s="43" t="s">
        <v>102</v>
      </c>
    </row>
    <row r="77" spans="1:13" x14ac:dyDescent="0.3">
      <c r="A77" t="s">
        <v>757</v>
      </c>
      <c r="B77" s="25">
        <v>75</v>
      </c>
      <c r="C77" s="19" t="str">
        <f t="shared" si="1"/>
        <v>BL_WATER_RESISTANCE</v>
      </c>
      <c r="E77" t="s">
        <v>756</v>
      </c>
      <c r="F77" s="31" t="s">
        <v>652</v>
      </c>
      <c r="I77" t="s">
        <v>759</v>
      </c>
      <c r="J77" s="31" t="s">
        <v>435</v>
      </c>
      <c r="K77" s="43" t="s">
        <v>522</v>
      </c>
      <c r="L77" s="43" t="s">
        <v>98</v>
      </c>
      <c r="M77" s="43" t="s">
        <v>102</v>
      </c>
    </row>
    <row r="78" spans="1:13" x14ac:dyDescent="0.3">
      <c r="A78" t="s">
        <v>757</v>
      </c>
      <c r="B78" s="25">
        <v>76</v>
      </c>
      <c r="C78" s="19" t="str">
        <f t="shared" si="1"/>
        <v>BL_ROOF_SHAPE</v>
      </c>
      <c r="E78" t="s">
        <v>756</v>
      </c>
      <c r="F78" s="31" t="s">
        <v>653</v>
      </c>
      <c r="I78" t="s">
        <v>759</v>
      </c>
      <c r="J78" s="31" t="s">
        <v>436</v>
      </c>
      <c r="K78" s="43" t="s">
        <v>523</v>
      </c>
      <c r="L78" s="43" t="s">
        <v>275</v>
      </c>
      <c r="M78" s="43" t="s">
        <v>102</v>
      </c>
    </row>
    <row r="79" spans="1:13" x14ac:dyDescent="0.3">
      <c r="A79" t="s">
        <v>757</v>
      </c>
      <c r="B79" s="25">
        <v>77</v>
      </c>
      <c r="C79" s="19" t="str">
        <f t="shared" si="1"/>
        <v>BL_DOOR_STRENGTH</v>
      </c>
      <c r="E79" t="s">
        <v>756</v>
      </c>
      <c r="F79" s="31" t="s">
        <v>654</v>
      </c>
      <c r="I79" t="s">
        <v>759</v>
      </c>
      <c r="J79" s="31" t="s">
        <v>437</v>
      </c>
      <c r="K79" s="43" t="s">
        <v>524</v>
      </c>
      <c r="L79" s="43" t="s">
        <v>275</v>
      </c>
      <c r="M79" s="43" t="s">
        <v>102</v>
      </c>
    </row>
    <row r="80" spans="1:13" x14ac:dyDescent="0.3">
      <c r="A80" t="s">
        <v>757</v>
      </c>
      <c r="B80" s="25">
        <v>78</v>
      </c>
      <c r="C80" s="19" t="str">
        <f t="shared" si="1"/>
        <v>BL_LEVEL</v>
      </c>
      <c r="E80" t="s">
        <v>756</v>
      </c>
      <c r="F80" s="31" t="s">
        <v>655</v>
      </c>
      <c r="I80" t="s">
        <v>759</v>
      </c>
      <c r="J80" s="31" t="s">
        <v>438</v>
      </c>
      <c r="K80" s="43" t="s">
        <v>525</v>
      </c>
      <c r="L80" s="43" t="s">
        <v>275</v>
      </c>
      <c r="M80" s="43" t="s">
        <v>102</v>
      </c>
    </row>
    <row r="81" spans="1:13" x14ac:dyDescent="0.3">
      <c r="A81" t="s">
        <v>757</v>
      </c>
      <c r="B81" s="25">
        <v>79</v>
      </c>
      <c r="C81" s="19" t="str">
        <f t="shared" si="1"/>
        <v>BL_ROOF_DECK_BUILDING_TYPEII</v>
      </c>
      <c r="E81" t="s">
        <v>756</v>
      </c>
      <c r="F81" s="31" t="s">
        <v>656</v>
      </c>
      <c r="I81" t="s">
        <v>759</v>
      </c>
      <c r="J81" s="31" t="s">
        <v>439</v>
      </c>
      <c r="K81" s="43" t="s">
        <v>526</v>
      </c>
      <c r="L81" s="43" t="s">
        <v>98</v>
      </c>
      <c r="M81" s="43" t="s">
        <v>102</v>
      </c>
    </row>
    <row r="82" spans="1:13" x14ac:dyDescent="0.3">
      <c r="A82" t="s">
        <v>757</v>
      </c>
      <c r="B82" s="25">
        <v>80</v>
      </c>
      <c r="C82" s="19" t="str">
        <f t="shared" si="1"/>
        <v>BL_AREA</v>
      </c>
      <c r="E82" t="s">
        <v>756</v>
      </c>
      <c r="F82" s="31" t="s">
        <v>657</v>
      </c>
      <c r="I82" t="s">
        <v>759</v>
      </c>
      <c r="J82" s="31" t="s">
        <v>440</v>
      </c>
      <c r="K82" s="43" t="s">
        <v>527</v>
      </c>
      <c r="L82" s="43" t="s">
        <v>98</v>
      </c>
      <c r="M82" s="43" t="s">
        <v>102</v>
      </c>
    </row>
    <row r="83" spans="1:13" x14ac:dyDescent="0.3">
      <c r="A83" t="s">
        <v>757</v>
      </c>
      <c r="B83" s="25">
        <v>81</v>
      </c>
      <c r="C83" s="19" t="str">
        <f t="shared" si="1"/>
        <v>BL_CONSTRUCTED</v>
      </c>
      <c r="E83" t="s">
        <v>756</v>
      </c>
      <c r="F83" s="31" t="s">
        <v>658</v>
      </c>
      <c r="I83" t="s">
        <v>759</v>
      </c>
      <c r="J83" s="31" t="s">
        <v>441</v>
      </c>
      <c r="K83" s="43" t="s">
        <v>528</v>
      </c>
      <c r="L83" s="43" t="s">
        <v>275</v>
      </c>
      <c r="M83" s="43" t="s">
        <v>102</v>
      </c>
    </row>
    <row r="84" spans="1:13" x14ac:dyDescent="0.3">
      <c r="A84" t="s">
        <v>757</v>
      </c>
      <c r="B84" s="25">
        <v>82</v>
      </c>
      <c r="C84" s="19" t="str">
        <f t="shared" si="1"/>
        <v>BL_ROOF_COVER</v>
      </c>
      <c r="E84" t="s">
        <v>756</v>
      </c>
      <c r="F84" s="31" t="s">
        <v>659</v>
      </c>
      <c r="I84" t="s">
        <v>759</v>
      </c>
      <c r="J84" s="31" t="s">
        <v>442</v>
      </c>
      <c r="K84" s="43" t="s">
        <v>529</v>
      </c>
      <c r="L84" s="43" t="s">
        <v>98</v>
      </c>
      <c r="M84" s="43" t="s">
        <v>102</v>
      </c>
    </row>
    <row r="85" spans="1:13" x14ac:dyDescent="0.3">
      <c r="A85" t="s">
        <v>757</v>
      </c>
      <c r="B85" s="25">
        <v>83</v>
      </c>
      <c r="C85" s="19" t="str">
        <f t="shared" si="1"/>
        <v>BL_BUILDING_OCCUPANCY_TYPE</v>
      </c>
      <c r="E85" t="s">
        <v>756</v>
      </c>
      <c r="F85" s="31" t="s">
        <v>660</v>
      </c>
      <c r="I85" t="s">
        <v>759</v>
      </c>
      <c r="J85" s="31" t="s">
        <v>443</v>
      </c>
      <c r="K85" s="43" t="s">
        <v>530</v>
      </c>
      <c r="L85" s="43" t="s">
        <v>275</v>
      </c>
      <c r="M85" s="43" t="s">
        <v>102</v>
      </c>
    </row>
    <row r="86" spans="1:13" x14ac:dyDescent="0.3">
      <c r="A86" t="s">
        <v>757</v>
      </c>
      <c r="B86" s="25">
        <v>84</v>
      </c>
      <c r="C86" s="19" t="str">
        <f t="shared" si="1"/>
        <v>BL_MINE_SUB_SIDENCE_INSURED_PROPER</v>
      </c>
      <c r="E86" t="s">
        <v>756</v>
      </c>
      <c r="F86" s="31" t="s">
        <v>661</v>
      </c>
      <c r="I86" t="s">
        <v>759</v>
      </c>
      <c r="J86" s="31" t="s">
        <v>444</v>
      </c>
      <c r="K86" s="43" t="s">
        <v>531</v>
      </c>
      <c r="L86" s="43" t="s">
        <v>275</v>
      </c>
      <c r="M86" s="43" t="s">
        <v>102</v>
      </c>
    </row>
    <row r="87" spans="1:13" x14ac:dyDescent="0.3">
      <c r="A87" t="s">
        <v>757</v>
      </c>
      <c r="B87" s="25">
        <v>85</v>
      </c>
      <c r="C87" s="19" t="str">
        <f t="shared" si="1"/>
        <v>BL_OCCUPANCY_CLASS</v>
      </c>
      <c r="E87" t="s">
        <v>756</v>
      </c>
      <c r="F87" s="31" t="s">
        <v>662</v>
      </c>
      <c r="I87" t="s">
        <v>759</v>
      </c>
      <c r="J87" s="31" t="s">
        <v>445</v>
      </c>
      <c r="K87" s="43" t="s">
        <v>532</v>
      </c>
      <c r="L87" s="43" t="s">
        <v>275</v>
      </c>
      <c r="M87" s="43" t="s">
        <v>102</v>
      </c>
    </row>
    <row r="88" spans="1:13" x14ac:dyDescent="0.3">
      <c r="A88" t="s">
        <v>757</v>
      </c>
      <c r="B88" s="25">
        <v>86</v>
      </c>
      <c r="C88" s="19" t="str">
        <f t="shared" si="1"/>
        <v>BL_MINE_SUB_SIDENCE_WAIVED</v>
      </c>
      <c r="E88" t="s">
        <v>756</v>
      </c>
      <c r="F88" s="31" t="s">
        <v>663</v>
      </c>
      <c r="I88" t="s">
        <v>759</v>
      </c>
      <c r="J88" s="31" t="s">
        <v>446</v>
      </c>
      <c r="K88" s="43" t="s">
        <v>533</v>
      </c>
      <c r="L88" s="43" t="s">
        <v>275</v>
      </c>
      <c r="M88" s="43" t="s">
        <v>102</v>
      </c>
    </row>
    <row r="89" spans="1:13" x14ac:dyDescent="0.3">
      <c r="A89" t="s">
        <v>757</v>
      </c>
      <c r="B89" s="25">
        <v>87</v>
      </c>
      <c r="C89" s="19" t="str">
        <f t="shared" si="1"/>
        <v>BL_SUB_DECKING</v>
      </c>
      <c r="E89" t="s">
        <v>756</v>
      </c>
      <c r="F89" s="31" t="s">
        <v>664</v>
      </c>
      <c r="I89" t="s">
        <v>759</v>
      </c>
      <c r="J89" s="31" t="s">
        <v>447</v>
      </c>
      <c r="K89" s="43" t="s">
        <v>534</v>
      </c>
      <c r="L89" s="43" t="s">
        <v>275</v>
      </c>
      <c r="M89" s="43" t="s">
        <v>102</v>
      </c>
    </row>
    <row r="90" spans="1:13" x14ac:dyDescent="0.3">
      <c r="A90" t="s">
        <v>757</v>
      </c>
      <c r="B90" s="25">
        <v>88</v>
      </c>
      <c r="C90" s="19" t="str">
        <f t="shared" si="1"/>
        <v>BL_BUILDING_GROUP</v>
      </c>
      <c r="E90" t="s">
        <v>756</v>
      </c>
      <c r="F90" s="31" t="s">
        <v>665</v>
      </c>
      <c r="I90" t="s">
        <v>759</v>
      </c>
      <c r="J90" s="31" t="s">
        <v>448</v>
      </c>
      <c r="K90" s="43" t="s">
        <v>535</v>
      </c>
      <c r="L90" s="43" t="s">
        <v>98</v>
      </c>
      <c r="M90" s="43" t="s">
        <v>102</v>
      </c>
    </row>
    <row r="91" spans="1:13" x14ac:dyDescent="0.3">
      <c r="A91" t="s">
        <v>757</v>
      </c>
      <c r="B91" s="25">
        <v>89</v>
      </c>
      <c r="C91" s="19" t="str">
        <f t="shared" si="1"/>
        <v>BL_AGREED_VALUE_OF_BUILDING</v>
      </c>
      <c r="E91" t="s">
        <v>756</v>
      </c>
      <c r="F91" s="31" t="s">
        <v>666</v>
      </c>
      <c r="I91" t="s">
        <v>759</v>
      </c>
      <c r="J91" s="31" t="s">
        <v>449</v>
      </c>
      <c r="K91" s="43" t="s">
        <v>536</v>
      </c>
      <c r="L91" s="43" t="s">
        <v>274</v>
      </c>
      <c r="M91" s="43" t="s">
        <v>276</v>
      </c>
    </row>
    <row r="92" spans="1:13" x14ac:dyDescent="0.3">
      <c r="A92" t="s">
        <v>757</v>
      </c>
      <c r="B92" s="25">
        <v>90</v>
      </c>
      <c r="C92" s="19" t="str">
        <f t="shared" si="1"/>
        <v>BL OPENING PROTECTION</v>
      </c>
      <c r="E92" t="s">
        <v>756</v>
      </c>
      <c r="F92" s="31" t="s">
        <v>667</v>
      </c>
      <c r="I92" t="s">
        <v>759</v>
      </c>
      <c r="J92" s="31" t="s">
        <v>450</v>
      </c>
      <c r="K92" s="43" t="s">
        <v>537</v>
      </c>
      <c r="L92" s="43" t="s">
        <v>275</v>
      </c>
      <c r="M92" s="43" t="s">
        <v>102</v>
      </c>
    </row>
    <row r="93" spans="1:13" x14ac:dyDescent="0.3">
      <c r="A93" t="s">
        <v>757</v>
      </c>
      <c r="B93" s="25">
        <v>91</v>
      </c>
      <c r="C93" s="19" t="str">
        <f t="shared" si="1"/>
        <v>BL_COMMERCIAL_CONDOMINIUM</v>
      </c>
      <c r="E93" t="s">
        <v>756</v>
      </c>
      <c r="F93" s="31" t="s">
        <v>668</v>
      </c>
      <c r="I93" t="s">
        <v>759</v>
      </c>
      <c r="J93" s="31" t="s">
        <v>451</v>
      </c>
      <c r="K93" s="43" t="s">
        <v>538</v>
      </c>
      <c r="L93" s="43" t="s">
        <v>98</v>
      </c>
      <c r="M93" s="43" t="s">
        <v>102</v>
      </c>
    </row>
    <row r="94" spans="1:13" x14ac:dyDescent="0.3">
      <c r="A94" t="s">
        <v>757</v>
      </c>
      <c r="B94" s="25">
        <v>92</v>
      </c>
      <c r="C94" s="19" t="str">
        <f t="shared" si="1"/>
        <v>BL_IBHS_CERTIFICATE_TYPE_2</v>
      </c>
      <c r="E94" t="s">
        <v>756</v>
      </c>
      <c r="F94" s="31" t="s">
        <v>669</v>
      </c>
      <c r="I94" t="s">
        <v>759</v>
      </c>
      <c r="J94" s="31" t="s">
        <v>357</v>
      </c>
      <c r="K94" s="43" t="s">
        <v>539</v>
      </c>
      <c r="L94" s="43" t="s">
        <v>275</v>
      </c>
      <c r="M94" s="43" t="s">
        <v>102</v>
      </c>
    </row>
    <row r="95" spans="1:13" x14ac:dyDescent="0.3">
      <c r="A95" t="s">
        <v>757</v>
      </c>
      <c r="B95" s="25">
        <v>93</v>
      </c>
      <c r="C95" s="19" t="str">
        <f t="shared" si="1"/>
        <v>CL_TOWN_HOUSE_BY_LAW</v>
      </c>
      <c r="E95" t="s">
        <v>756</v>
      </c>
      <c r="F95" s="31" t="s">
        <v>670</v>
      </c>
      <c r="I95" t="s">
        <v>759</v>
      </c>
      <c r="J95" s="31" t="s">
        <v>217</v>
      </c>
      <c r="K95" s="43" t="s">
        <v>256</v>
      </c>
      <c r="L95" s="43" t="s">
        <v>98</v>
      </c>
      <c r="M95" s="43" t="s">
        <v>102</v>
      </c>
    </row>
    <row r="96" spans="1:13" x14ac:dyDescent="0.3">
      <c r="A96" t="s">
        <v>757</v>
      </c>
      <c r="B96" s="25">
        <v>94</v>
      </c>
      <c r="C96" s="19" t="str">
        <f t="shared" si="1"/>
        <v>CL_PLUMBING_LICENSE</v>
      </c>
      <c r="E96" t="s">
        <v>756</v>
      </c>
      <c r="F96" s="31" t="s">
        <v>671</v>
      </c>
      <c r="I96" t="s">
        <v>759</v>
      </c>
      <c r="J96" s="31" t="s">
        <v>218</v>
      </c>
      <c r="K96" s="43" t="s">
        <v>257</v>
      </c>
      <c r="L96" s="43" t="s">
        <v>275</v>
      </c>
      <c r="M96" s="43" t="s">
        <v>102</v>
      </c>
    </row>
    <row r="97" spans="1:13" x14ac:dyDescent="0.3">
      <c r="A97" t="s">
        <v>757</v>
      </c>
      <c r="B97" s="25">
        <v>95</v>
      </c>
      <c r="C97" s="19" t="str">
        <f t="shared" si="1"/>
        <v>CL_TOWN_HOUSE_ASSOC</v>
      </c>
      <c r="E97" t="s">
        <v>756</v>
      </c>
      <c r="F97" s="31" t="s">
        <v>672</v>
      </c>
      <c r="I97" t="s">
        <v>759</v>
      </c>
      <c r="J97" s="31" t="s">
        <v>219</v>
      </c>
      <c r="K97" s="43" t="s">
        <v>258</v>
      </c>
      <c r="L97" s="43" t="s">
        <v>98</v>
      </c>
      <c r="M97" s="43" t="s">
        <v>102</v>
      </c>
    </row>
    <row r="98" spans="1:13" x14ac:dyDescent="0.3">
      <c r="A98" t="s">
        <v>757</v>
      </c>
      <c r="B98" s="25">
        <v>96</v>
      </c>
      <c r="C98" s="19" t="str">
        <f t="shared" si="1"/>
        <v>CL_CONTRACTORS_WORK</v>
      </c>
      <c r="E98" t="s">
        <v>756</v>
      </c>
      <c r="F98" s="31" t="s">
        <v>673</v>
      </c>
      <c r="I98" t="s">
        <v>759</v>
      </c>
      <c r="J98" s="31" t="s">
        <v>220</v>
      </c>
      <c r="K98" s="43" t="s">
        <v>259</v>
      </c>
      <c r="L98" s="43" t="s">
        <v>275</v>
      </c>
      <c r="M98" s="43" t="s">
        <v>102</v>
      </c>
    </row>
    <row r="99" spans="1:13" x14ac:dyDescent="0.3">
      <c r="A99" t="s">
        <v>757</v>
      </c>
      <c r="B99" s="25">
        <v>97</v>
      </c>
      <c r="C99" s="19" t="str">
        <f t="shared" si="1"/>
        <v>BL_BLDG_CD_EFF_GRADE_CL</v>
      </c>
      <c r="E99" t="s">
        <v>756</v>
      </c>
      <c r="F99" s="31" t="s">
        <v>674</v>
      </c>
      <c r="I99" t="s">
        <v>759</v>
      </c>
      <c r="J99" s="31" t="s">
        <v>353</v>
      </c>
      <c r="K99" s="43" t="s">
        <v>330</v>
      </c>
      <c r="L99" s="43" t="s">
        <v>275</v>
      </c>
      <c r="M99" s="43" t="s">
        <v>102</v>
      </c>
    </row>
    <row r="100" spans="1:13" x14ac:dyDescent="0.3">
      <c r="A100" t="s">
        <v>757</v>
      </c>
      <c r="B100" s="25">
        <v>98</v>
      </c>
      <c r="C100" s="19" t="str">
        <f t="shared" si="1"/>
        <v>BL_BUILDING_ITV</v>
      </c>
      <c r="E100" t="s">
        <v>756</v>
      </c>
      <c r="F100" s="31" t="s">
        <v>675</v>
      </c>
      <c r="I100" t="s">
        <v>759</v>
      </c>
      <c r="J100" s="31" t="s">
        <v>452</v>
      </c>
      <c r="K100" s="43" t="s">
        <v>540</v>
      </c>
      <c r="L100" s="43" t="s">
        <v>275</v>
      </c>
      <c r="M100" s="43" t="s">
        <v>102</v>
      </c>
    </row>
    <row r="101" spans="1:13" x14ac:dyDescent="0.3">
      <c r="A101" t="s">
        <v>757</v>
      </c>
      <c r="B101" s="25">
        <v>99</v>
      </c>
      <c r="C101" s="19" t="str">
        <f t="shared" si="1"/>
        <v>BL_BUILDING_TOTAL_RCV</v>
      </c>
      <c r="E101" t="s">
        <v>756</v>
      </c>
      <c r="F101" s="31" t="s">
        <v>676</v>
      </c>
      <c r="I101" t="s">
        <v>759</v>
      </c>
      <c r="J101" s="31" t="s">
        <v>453</v>
      </c>
      <c r="K101" s="43" t="s">
        <v>541</v>
      </c>
      <c r="L101" s="43" t="s">
        <v>274</v>
      </c>
      <c r="M101" s="43" t="s">
        <v>276</v>
      </c>
    </row>
    <row r="102" spans="1:13" x14ac:dyDescent="0.3">
      <c r="A102" t="s">
        <v>757</v>
      </c>
      <c r="B102" s="25">
        <v>100</v>
      </c>
      <c r="C102" s="19" t="str">
        <f t="shared" si="1"/>
        <v>BL_BUILDING_TOTAL_SQUARE_FEET</v>
      </c>
      <c r="E102" t="s">
        <v>756</v>
      </c>
      <c r="F102" s="31" t="s">
        <v>677</v>
      </c>
      <c r="I102" t="s">
        <v>759</v>
      </c>
      <c r="J102" s="31" t="s">
        <v>454</v>
      </c>
      <c r="K102" s="43" t="s">
        <v>324</v>
      </c>
      <c r="L102" s="43" t="s">
        <v>274</v>
      </c>
      <c r="M102" s="43" t="s">
        <v>276</v>
      </c>
    </row>
    <row r="103" spans="1:13" x14ac:dyDescent="0.3">
      <c r="A103" t="s">
        <v>757</v>
      </c>
      <c r="B103" s="25">
        <v>101</v>
      </c>
      <c r="C103" s="19" t="str">
        <f t="shared" si="1"/>
        <v>BL_CE_BUILDING_TOTAL_RCV</v>
      </c>
      <c r="E103" t="s">
        <v>756</v>
      </c>
      <c r="F103" s="31" t="s">
        <v>678</v>
      </c>
      <c r="I103" t="s">
        <v>759</v>
      </c>
      <c r="J103" s="31" t="s">
        <v>455</v>
      </c>
      <c r="K103" s="43" t="s">
        <v>542</v>
      </c>
      <c r="L103" s="43" t="s">
        <v>98</v>
      </c>
      <c r="M103" s="43" t="s">
        <v>102</v>
      </c>
    </row>
    <row r="104" spans="1:13" x14ac:dyDescent="0.3">
      <c r="A104" t="s">
        <v>757</v>
      </c>
      <c r="B104" s="25">
        <v>102</v>
      </c>
      <c r="C104" s="19" t="str">
        <f t="shared" si="1"/>
        <v>BL_INSURED_OCCUPIED_SQUARE_FEET</v>
      </c>
      <c r="E104" t="s">
        <v>756</v>
      </c>
      <c r="F104" s="31" t="s">
        <v>679</v>
      </c>
      <c r="I104" t="s">
        <v>759</v>
      </c>
      <c r="J104" s="31" t="s">
        <v>456</v>
      </c>
      <c r="K104" s="43" t="s">
        <v>325</v>
      </c>
      <c r="L104" s="43" t="s">
        <v>274</v>
      </c>
      <c r="M104" s="43" t="s">
        <v>276</v>
      </c>
    </row>
    <row r="105" spans="1:13" x14ac:dyDescent="0.3">
      <c r="A105" t="s">
        <v>757</v>
      </c>
      <c r="B105" s="25">
        <v>103</v>
      </c>
      <c r="C105" s="19" t="str">
        <f t="shared" si="1"/>
        <v>BL_OCCUPANCY_TYPE</v>
      </c>
      <c r="E105" t="s">
        <v>756</v>
      </c>
      <c r="F105" s="31" t="s">
        <v>680</v>
      </c>
      <c r="I105" t="s">
        <v>759</v>
      </c>
      <c r="J105" s="31" t="s">
        <v>455</v>
      </c>
      <c r="K105" s="43" t="s">
        <v>543</v>
      </c>
      <c r="L105" s="43" t="s">
        <v>98</v>
      </c>
      <c r="M105" s="43" t="s">
        <v>102</v>
      </c>
    </row>
    <row r="106" spans="1:13" x14ac:dyDescent="0.3">
      <c r="A106" t="s">
        <v>757</v>
      </c>
      <c r="B106" s="25">
        <v>104</v>
      </c>
      <c r="C106" s="19" t="str">
        <f t="shared" si="1"/>
        <v>CL_AREA</v>
      </c>
      <c r="E106" t="s">
        <v>756</v>
      </c>
      <c r="F106" s="31" t="s">
        <v>681</v>
      </c>
      <c r="I106" t="s">
        <v>759</v>
      </c>
      <c r="J106" s="31" t="s">
        <v>199</v>
      </c>
      <c r="K106" s="43" t="s">
        <v>236</v>
      </c>
      <c r="L106" s="43" t="s">
        <v>274</v>
      </c>
      <c r="M106" s="43" t="s">
        <v>276</v>
      </c>
    </row>
    <row r="107" spans="1:13" x14ac:dyDescent="0.3">
      <c r="A107" t="s">
        <v>757</v>
      </c>
      <c r="B107" s="25">
        <v>105</v>
      </c>
      <c r="C107" s="19" t="str">
        <f t="shared" si="1"/>
        <v>CL_BLKT_ID_NO</v>
      </c>
      <c r="E107" t="s">
        <v>756</v>
      </c>
      <c r="F107" s="31" t="s">
        <v>682</v>
      </c>
      <c r="I107" t="s">
        <v>759</v>
      </c>
      <c r="J107" s="31" t="s">
        <v>457</v>
      </c>
      <c r="K107" s="43" t="s">
        <v>237</v>
      </c>
      <c r="L107" s="43" t="s">
        <v>274</v>
      </c>
      <c r="M107" s="43" t="s">
        <v>276</v>
      </c>
    </row>
    <row r="108" spans="1:13" x14ac:dyDescent="0.3">
      <c r="A108" t="s">
        <v>757</v>
      </c>
      <c r="B108" s="25">
        <v>106</v>
      </c>
      <c r="C108" s="19" t="str">
        <f t="shared" si="1"/>
        <v>CL_BP_BLDG_KEY</v>
      </c>
      <c r="E108" t="s">
        <v>756</v>
      </c>
      <c r="F108" s="31" t="s">
        <v>683</v>
      </c>
      <c r="I108" t="s">
        <v>759</v>
      </c>
      <c r="J108" s="31" t="s">
        <v>458</v>
      </c>
      <c r="K108" s="43" t="s">
        <v>544</v>
      </c>
      <c r="L108" s="43" t="s">
        <v>96</v>
      </c>
      <c r="M108" s="43" t="s">
        <v>99</v>
      </c>
    </row>
    <row r="109" spans="1:13" x14ac:dyDescent="0.3">
      <c r="A109" t="s">
        <v>757</v>
      </c>
      <c r="B109" s="25">
        <v>107</v>
      </c>
      <c r="C109" s="19" t="str">
        <f t="shared" si="1"/>
        <v>CL_CL_CD</v>
      </c>
      <c r="E109" t="s">
        <v>756</v>
      </c>
      <c r="F109" s="31" t="s">
        <v>684</v>
      </c>
      <c r="I109" t="s">
        <v>759</v>
      </c>
      <c r="J109" s="31" t="s">
        <v>459</v>
      </c>
      <c r="K109" s="43" t="s">
        <v>238</v>
      </c>
      <c r="L109" s="43" t="s">
        <v>98</v>
      </c>
      <c r="M109" s="43" t="s">
        <v>102</v>
      </c>
    </row>
    <row r="110" spans="1:13" x14ac:dyDescent="0.3">
      <c r="A110" t="s">
        <v>757</v>
      </c>
      <c r="B110" s="25">
        <v>108</v>
      </c>
      <c r="C110" s="19" t="str">
        <f t="shared" si="1"/>
        <v>CL_CL_GRP</v>
      </c>
      <c r="E110" t="s">
        <v>756</v>
      </c>
      <c r="F110" s="31" t="s">
        <v>685</v>
      </c>
      <c r="I110" t="s">
        <v>759</v>
      </c>
      <c r="J110" s="31" t="s">
        <v>203</v>
      </c>
      <c r="K110" s="43" t="s">
        <v>240</v>
      </c>
      <c r="L110" s="43" t="s">
        <v>275</v>
      </c>
      <c r="M110" s="43" t="s">
        <v>102</v>
      </c>
    </row>
    <row r="111" spans="1:13" x14ac:dyDescent="0.3">
      <c r="A111" t="s">
        <v>757</v>
      </c>
      <c r="B111" s="25">
        <v>109</v>
      </c>
      <c r="C111" s="19" t="str">
        <f t="shared" si="1"/>
        <v>CL_CL_PROP_TYPE</v>
      </c>
      <c r="E111" t="s">
        <v>756</v>
      </c>
      <c r="F111" s="31" t="s">
        <v>686</v>
      </c>
      <c r="I111" t="s">
        <v>759</v>
      </c>
      <c r="J111" s="31" t="s">
        <v>362</v>
      </c>
      <c r="K111" s="43" t="s">
        <v>241</v>
      </c>
      <c r="L111" s="43" t="s">
        <v>275</v>
      </c>
      <c r="M111" s="43" t="s">
        <v>102</v>
      </c>
    </row>
    <row r="112" spans="1:13" x14ac:dyDescent="0.3">
      <c r="A112" t="s">
        <v>757</v>
      </c>
      <c r="B112" s="25">
        <v>110</v>
      </c>
      <c r="C112" s="19" t="str">
        <f t="shared" si="1"/>
        <v>CL_CL_TEXT</v>
      </c>
      <c r="E112" t="s">
        <v>756</v>
      </c>
      <c r="F112" s="31" t="s">
        <v>687</v>
      </c>
      <c r="I112" t="s">
        <v>759</v>
      </c>
      <c r="J112" s="31" t="s">
        <v>460</v>
      </c>
      <c r="K112" s="43" t="s">
        <v>239</v>
      </c>
      <c r="L112" s="43" t="s">
        <v>98</v>
      </c>
      <c r="M112" s="43" t="s">
        <v>102</v>
      </c>
    </row>
    <row r="113" spans="1:13" x14ac:dyDescent="0.3">
      <c r="A113" t="s">
        <v>757</v>
      </c>
      <c r="B113" s="25">
        <v>111</v>
      </c>
      <c r="C113" s="19" t="str">
        <f t="shared" si="1"/>
        <v>CL_CLASS_NO</v>
      </c>
      <c r="E113" t="s">
        <v>756</v>
      </c>
      <c r="F113" s="31" t="s">
        <v>688</v>
      </c>
      <c r="I113" t="s">
        <v>759</v>
      </c>
      <c r="J113" s="31" t="s">
        <v>461</v>
      </c>
      <c r="K113" s="43" t="s">
        <v>242</v>
      </c>
      <c r="L113" s="43" t="s">
        <v>274</v>
      </c>
      <c r="M113" s="43" t="s">
        <v>276</v>
      </c>
    </row>
    <row r="114" spans="1:13" x14ac:dyDescent="0.3">
      <c r="A114" t="s">
        <v>757</v>
      </c>
      <c r="B114" s="25">
        <v>112</v>
      </c>
      <c r="C114" s="19" t="str">
        <f t="shared" si="1"/>
        <v>CL_CONDO_BYLAWS</v>
      </c>
      <c r="E114" t="s">
        <v>756</v>
      </c>
      <c r="F114" s="31" t="s">
        <v>689</v>
      </c>
      <c r="I114" t="s">
        <v>759</v>
      </c>
      <c r="J114" s="31" t="s">
        <v>462</v>
      </c>
      <c r="K114" s="43" t="s">
        <v>243</v>
      </c>
      <c r="L114" s="43" t="s">
        <v>98</v>
      </c>
      <c r="M114" s="43" t="s">
        <v>102</v>
      </c>
    </row>
    <row r="115" spans="1:13" x14ac:dyDescent="0.3">
      <c r="A115" t="s">
        <v>757</v>
      </c>
      <c r="B115" s="25">
        <v>113</v>
      </c>
      <c r="C115" s="19" t="str">
        <f t="shared" si="1"/>
        <v>CL_CONDO_RESIDENCE</v>
      </c>
      <c r="E115" t="s">
        <v>756</v>
      </c>
      <c r="F115" s="31" t="s">
        <v>690</v>
      </c>
      <c r="I115" t="s">
        <v>759</v>
      </c>
      <c r="J115" s="31" t="s">
        <v>463</v>
      </c>
      <c r="K115" s="43" t="s">
        <v>244</v>
      </c>
      <c r="L115" s="43" t="s">
        <v>275</v>
      </c>
      <c r="M115" s="43" t="s">
        <v>102</v>
      </c>
    </row>
    <row r="116" spans="1:13" x14ac:dyDescent="0.3">
      <c r="A116" t="s">
        <v>757</v>
      </c>
      <c r="B116" s="25">
        <v>114</v>
      </c>
      <c r="C116" s="19" t="str">
        <f t="shared" si="1"/>
        <v>CL_EXPSR</v>
      </c>
      <c r="E116" t="s">
        <v>756</v>
      </c>
      <c r="F116" s="31" t="s">
        <v>691</v>
      </c>
      <c r="I116" t="s">
        <v>759</v>
      </c>
      <c r="J116" s="31" t="s">
        <v>464</v>
      </c>
      <c r="K116" s="43" t="s">
        <v>246</v>
      </c>
      <c r="L116" s="43" t="s">
        <v>274</v>
      </c>
      <c r="M116" s="43" t="s">
        <v>276</v>
      </c>
    </row>
    <row r="117" spans="1:13" x14ac:dyDescent="0.3">
      <c r="A117" t="s">
        <v>757</v>
      </c>
      <c r="B117" s="25">
        <v>115</v>
      </c>
      <c r="C117" s="19" t="str">
        <f t="shared" si="1"/>
        <v>CL_EXPSR_BASIS</v>
      </c>
      <c r="E117" t="s">
        <v>756</v>
      </c>
      <c r="F117" s="31" t="s">
        <v>692</v>
      </c>
      <c r="I117" t="s">
        <v>759</v>
      </c>
      <c r="J117" s="31" t="s">
        <v>465</v>
      </c>
      <c r="K117" s="43" t="s">
        <v>247</v>
      </c>
      <c r="L117" s="43" t="s">
        <v>98</v>
      </c>
      <c r="M117" s="43" t="s">
        <v>102</v>
      </c>
    </row>
    <row r="118" spans="1:13" x14ac:dyDescent="0.3">
      <c r="A118" t="s">
        <v>757</v>
      </c>
      <c r="B118" s="25">
        <v>116</v>
      </c>
      <c r="C118" s="19" t="str">
        <f t="shared" si="1"/>
        <v>CL_FUNCTL_BUSN_PRSNL_PROP_VALTN_APPLY</v>
      </c>
      <c r="E118" t="s">
        <v>756</v>
      </c>
      <c r="F118" s="31" t="s">
        <v>693</v>
      </c>
      <c r="I118" t="s">
        <v>759</v>
      </c>
      <c r="J118" s="31" t="s">
        <v>466</v>
      </c>
      <c r="K118" s="43" t="s">
        <v>248</v>
      </c>
      <c r="L118" s="43" t="s">
        <v>275</v>
      </c>
      <c r="M118" s="43" t="s">
        <v>102</v>
      </c>
    </row>
    <row r="119" spans="1:13" ht="28.8" x14ac:dyDescent="0.3">
      <c r="A119" t="s">
        <v>757</v>
      </c>
      <c r="B119" s="25">
        <v>117</v>
      </c>
      <c r="C119" s="19" t="str">
        <f t="shared" si="1"/>
        <v>CL_NORTH_AMERICAN_INDUSTRY_CLASS_SYS_NAICS_CD</v>
      </c>
      <c r="E119" t="s">
        <v>756</v>
      </c>
      <c r="F119" s="31" t="s">
        <v>694</v>
      </c>
      <c r="I119" t="s">
        <v>759</v>
      </c>
      <c r="J119" s="31" t="s">
        <v>467</v>
      </c>
      <c r="K119" s="43" t="s">
        <v>249</v>
      </c>
      <c r="L119" s="43" t="s">
        <v>98</v>
      </c>
      <c r="M119" s="43" t="s">
        <v>102</v>
      </c>
    </row>
    <row r="120" spans="1:13" x14ac:dyDescent="0.3">
      <c r="A120" t="s">
        <v>757</v>
      </c>
      <c r="B120" s="25">
        <v>118</v>
      </c>
      <c r="C120" s="19" t="str">
        <f t="shared" si="1"/>
        <v>CL_PREDOMINANT_FL</v>
      </c>
      <c r="E120" t="s">
        <v>756</v>
      </c>
      <c r="F120" s="31" t="s">
        <v>695</v>
      </c>
      <c r="I120" t="s">
        <v>759</v>
      </c>
      <c r="J120" s="31" t="s">
        <v>468</v>
      </c>
      <c r="K120" s="43" t="s">
        <v>250</v>
      </c>
      <c r="L120" s="43" t="s">
        <v>121</v>
      </c>
      <c r="M120" s="43" t="s">
        <v>165</v>
      </c>
    </row>
    <row r="121" spans="1:13" x14ac:dyDescent="0.3">
      <c r="A121" t="s">
        <v>757</v>
      </c>
      <c r="B121" s="25">
        <v>119</v>
      </c>
      <c r="C121" s="19" t="str">
        <f t="shared" si="1"/>
        <v>CL_RABOP_TYPE</v>
      </c>
      <c r="E121" t="s">
        <v>756</v>
      </c>
      <c r="F121" s="31" t="s">
        <v>696</v>
      </c>
      <c r="I121" t="s">
        <v>759</v>
      </c>
      <c r="J121" s="31" t="s">
        <v>469</v>
      </c>
      <c r="K121" s="43" t="s">
        <v>251</v>
      </c>
      <c r="L121" s="43" t="s">
        <v>275</v>
      </c>
      <c r="M121" s="43" t="s">
        <v>102</v>
      </c>
    </row>
    <row r="122" spans="1:13" x14ac:dyDescent="0.3">
      <c r="A122" t="s">
        <v>757</v>
      </c>
      <c r="B122" s="25">
        <v>120</v>
      </c>
      <c r="C122" s="19" t="str">
        <f t="shared" si="1"/>
        <v>CL_RABOP_TYPE_LIAB_OCCUPANTS</v>
      </c>
      <c r="E122" t="s">
        <v>756</v>
      </c>
      <c r="F122" s="31" t="s">
        <v>697</v>
      </c>
      <c r="I122" t="s">
        <v>759</v>
      </c>
      <c r="J122" s="31" t="s">
        <v>470</v>
      </c>
      <c r="K122" s="43" t="s">
        <v>252</v>
      </c>
      <c r="L122" s="43" t="s">
        <v>275</v>
      </c>
      <c r="M122" s="43" t="s">
        <v>102</v>
      </c>
    </row>
    <row r="123" spans="1:13" x14ac:dyDescent="0.3">
      <c r="A123" t="s">
        <v>757</v>
      </c>
      <c r="B123" s="25">
        <v>121</v>
      </c>
      <c r="C123" s="19" t="str">
        <f t="shared" si="1"/>
        <v>CL_RABOP_WANTED</v>
      </c>
      <c r="E123" t="s">
        <v>756</v>
      </c>
      <c r="F123" s="31" t="s">
        <v>698</v>
      </c>
      <c r="I123" t="s">
        <v>759</v>
      </c>
      <c r="J123" s="31" t="s">
        <v>471</v>
      </c>
      <c r="K123" s="43" t="s">
        <v>253</v>
      </c>
      <c r="L123" s="43" t="s">
        <v>275</v>
      </c>
      <c r="M123" s="43" t="s">
        <v>102</v>
      </c>
    </row>
    <row r="124" spans="1:13" x14ac:dyDescent="0.3">
      <c r="A124" t="s">
        <v>757</v>
      </c>
      <c r="B124" s="25">
        <v>122</v>
      </c>
      <c r="C124" s="19" t="str">
        <f t="shared" si="1"/>
        <v>CL_RATE_NO</v>
      </c>
      <c r="E124" t="s">
        <v>756</v>
      </c>
      <c r="F124" s="31" t="s">
        <v>699</v>
      </c>
      <c r="I124" t="s">
        <v>759</v>
      </c>
      <c r="J124" s="31" t="s">
        <v>216</v>
      </c>
      <c r="K124" s="43" t="s">
        <v>254</v>
      </c>
      <c r="L124" s="43" t="s">
        <v>275</v>
      </c>
      <c r="M124" s="43" t="s">
        <v>102</v>
      </c>
    </row>
    <row r="125" spans="1:13" x14ac:dyDescent="0.3">
      <c r="A125" t="s">
        <v>757</v>
      </c>
      <c r="B125" s="25">
        <v>123</v>
      </c>
      <c r="C125" s="19" t="str">
        <f t="shared" si="1"/>
        <v>CL_STD_INDUSTRIAL_CLASS_SIC_CD</v>
      </c>
      <c r="E125" t="s">
        <v>756</v>
      </c>
      <c r="F125" s="31" t="s">
        <v>700</v>
      </c>
      <c r="I125" t="s">
        <v>759</v>
      </c>
      <c r="J125" s="31" t="s">
        <v>472</v>
      </c>
      <c r="K125" s="43" t="s">
        <v>255</v>
      </c>
      <c r="L125" s="43" t="s">
        <v>98</v>
      </c>
      <c r="M125" s="43" t="s">
        <v>102</v>
      </c>
    </row>
    <row r="126" spans="1:13" x14ac:dyDescent="0.3">
      <c r="A126" t="s">
        <v>757</v>
      </c>
      <c r="B126" s="25">
        <v>124</v>
      </c>
      <c r="C126" s="19" t="str">
        <f t="shared" si="1"/>
        <v>CL_TEXT_OF_PROP_OR_COVG</v>
      </c>
      <c r="E126" t="s">
        <v>756</v>
      </c>
      <c r="F126" s="31" t="s">
        <v>701</v>
      </c>
      <c r="I126" t="s">
        <v>759</v>
      </c>
      <c r="J126" s="31" t="s">
        <v>463</v>
      </c>
      <c r="K126" s="43" t="s">
        <v>245</v>
      </c>
      <c r="L126" s="43" t="s">
        <v>98</v>
      </c>
      <c r="M126" s="43" t="s">
        <v>102</v>
      </c>
    </row>
    <row r="127" spans="1:13" x14ac:dyDescent="0.3">
      <c r="A127" t="s">
        <v>757</v>
      </c>
      <c r="B127" s="25">
        <v>125</v>
      </c>
      <c r="C127" s="19" t="str">
        <f t="shared" si="1"/>
        <v>STR_COL_5</v>
      </c>
      <c r="E127" t="s">
        <v>756</v>
      </c>
      <c r="F127" s="31" t="s">
        <v>702</v>
      </c>
      <c r="I127" t="s">
        <v>759</v>
      </c>
      <c r="J127" s="31" t="s">
        <v>473</v>
      </c>
      <c r="K127" s="43" t="s">
        <v>545</v>
      </c>
      <c r="L127" s="43" t="s">
        <v>98</v>
      </c>
      <c r="M127" s="43" t="s">
        <v>102</v>
      </c>
    </row>
    <row r="128" spans="1:13" x14ac:dyDescent="0.3">
      <c r="A128" t="s">
        <v>757</v>
      </c>
      <c r="B128" s="25">
        <v>126</v>
      </c>
      <c r="C128" s="19" t="str">
        <f t="shared" si="1"/>
        <v>STR_COL_6</v>
      </c>
      <c r="E128" t="s">
        <v>756</v>
      </c>
      <c r="F128" s="31" t="s">
        <v>703</v>
      </c>
      <c r="I128" t="s">
        <v>759</v>
      </c>
      <c r="J128" s="31" t="s">
        <v>474</v>
      </c>
      <c r="K128" s="43" t="s">
        <v>546</v>
      </c>
      <c r="L128" s="43" t="s">
        <v>98</v>
      </c>
      <c r="M128" s="43" t="s">
        <v>102</v>
      </c>
    </row>
    <row r="129" spans="1:13" x14ac:dyDescent="0.3">
      <c r="A129" t="s">
        <v>757</v>
      </c>
      <c r="B129" s="25">
        <v>127</v>
      </c>
      <c r="C129" s="19" t="str">
        <f t="shared" si="1"/>
        <v>STR_COL_7</v>
      </c>
      <c r="E129" t="s">
        <v>756</v>
      </c>
      <c r="F129" s="31" t="s">
        <v>704</v>
      </c>
      <c r="I129" t="s">
        <v>759</v>
      </c>
      <c r="J129" s="31" t="s">
        <v>475</v>
      </c>
      <c r="K129" s="43" t="s">
        <v>547</v>
      </c>
      <c r="L129" s="43" t="s">
        <v>98</v>
      </c>
      <c r="M129" s="43" t="s">
        <v>102</v>
      </c>
    </row>
    <row r="130" spans="1:13" x14ac:dyDescent="0.3">
      <c r="A130" t="s">
        <v>757</v>
      </c>
      <c r="B130" s="25">
        <v>128</v>
      </c>
      <c r="C130" s="19" t="str">
        <f t="shared" si="1"/>
        <v>DECIMAL_COL_2</v>
      </c>
      <c r="E130" t="s">
        <v>756</v>
      </c>
      <c r="F130" s="31" t="s">
        <v>705</v>
      </c>
      <c r="I130" t="s">
        <v>759</v>
      </c>
      <c r="J130" s="31" t="s">
        <v>476</v>
      </c>
      <c r="K130" s="43" t="s">
        <v>548</v>
      </c>
      <c r="L130" s="43" t="s">
        <v>575</v>
      </c>
    </row>
    <row r="131" spans="1:13" x14ac:dyDescent="0.3">
      <c r="A131" t="s">
        <v>757</v>
      </c>
      <c r="B131" s="25">
        <v>129</v>
      </c>
      <c r="C131" s="19" t="str">
        <f t="shared" si="1"/>
        <v>JS_LIAB_CO_TIER_EXT</v>
      </c>
      <c r="E131" t="s">
        <v>756</v>
      </c>
      <c r="F131" s="31" t="s">
        <v>706</v>
      </c>
      <c r="I131" t="s">
        <v>759</v>
      </c>
      <c r="J131" s="31" t="s">
        <v>107</v>
      </c>
      <c r="K131" s="43" t="s">
        <v>35</v>
      </c>
      <c r="L131" s="43" t="s">
        <v>275</v>
      </c>
      <c r="M131" s="43" t="s">
        <v>102</v>
      </c>
    </row>
    <row r="132" spans="1:13" x14ac:dyDescent="0.3">
      <c r="A132" t="s">
        <v>757</v>
      </c>
      <c r="B132" s="25">
        <v>130</v>
      </c>
      <c r="C132" s="19" t="str">
        <f t="shared" ref="C132:C180" si="2">K132</f>
        <v>JS_LIAB_TIER_FCTR_EXT</v>
      </c>
      <c r="E132" t="s">
        <v>756</v>
      </c>
      <c r="F132" s="31" t="s">
        <v>707</v>
      </c>
      <c r="I132" t="s">
        <v>759</v>
      </c>
      <c r="J132" s="31" t="s">
        <v>108</v>
      </c>
      <c r="K132" s="43" t="s">
        <v>36</v>
      </c>
      <c r="L132" s="43" t="s">
        <v>119</v>
      </c>
      <c r="M132" s="43" t="s">
        <v>577</v>
      </c>
    </row>
    <row r="133" spans="1:13" x14ac:dyDescent="0.3">
      <c r="A133" t="s">
        <v>757</v>
      </c>
      <c r="B133" s="25">
        <v>131</v>
      </c>
      <c r="C133" s="19" t="str">
        <f t="shared" si="2"/>
        <v>JS_MI_LIQUOR_COMPLIANCE_EXT</v>
      </c>
      <c r="E133" t="s">
        <v>756</v>
      </c>
      <c r="F133" s="31" t="s">
        <v>708</v>
      </c>
      <c r="I133" t="s">
        <v>759</v>
      </c>
      <c r="J133" s="31" t="s">
        <v>109</v>
      </c>
      <c r="K133" s="43" t="s">
        <v>37</v>
      </c>
      <c r="L133" s="43" t="s">
        <v>98</v>
      </c>
      <c r="M133" s="43" t="s">
        <v>102</v>
      </c>
    </row>
    <row r="134" spans="1:13" x14ac:dyDescent="0.3">
      <c r="A134" t="s">
        <v>757</v>
      </c>
      <c r="B134" s="25">
        <v>132</v>
      </c>
      <c r="C134" s="19" t="str">
        <f t="shared" si="2"/>
        <v>JS_PREFD_COVG_CURR_CD</v>
      </c>
      <c r="E134" t="s">
        <v>756</v>
      </c>
      <c r="F134" s="31" t="s">
        <v>709</v>
      </c>
      <c r="I134" t="s">
        <v>759</v>
      </c>
      <c r="J134" s="31" t="s">
        <v>92</v>
      </c>
      <c r="K134" s="43" t="s">
        <v>38</v>
      </c>
      <c r="L134" s="43" t="s">
        <v>98</v>
      </c>
      <c r="M134" s="43" t="s">
        <v>102</v>
      </c>
    </row>
    <row r="135" spans="1:13" x14ac:dyDescent="0.3">
      <c r="A135" t="s">
        <v>757</v>
      </c>
      <c r="B135" s="25">
        <v>133</v>
      </c>
      <c r="C135" s="19" t="str">
        <f t="shared" si="2"/>
        <v>JS_PREFD_STTLMNT_CURR_CD</v>
      </c>
      <c r="E135" t="s">
        <v>756</v>
      </c>
      <c r="F135" s="31" t="s">
        <v>710</v>
      </c>
      <c r="I135" t="s">
        <v>759</v>
      </c>
      <c r="J135" s="31" t="s">
        <v>110</v>
      </c>
      <c r="K135" s="43" t="s">
        <v>39</v>
      </c>
      <c r="L135" s="43" t="s">
        <v>98</v>
      </c>
      <c r="M135" s="43" t="s">
        <v>102</v>
      </c>
    </row>
    <row r="136" spans="1:13" x14ac:dyDescent="0.3">
      <c r="A136" t="s">
        <v>757</v>
      </c>
      <c r="B136" s="25">
        <v>134</v>
      </c>
      <c r="C136" s="19" t="str">
        <f t="shared" si="2"/>
        <v>JS_PRICING_MODEL_ORDER_DT_EXT_DTS</v>
      </c>
      <c r="E136" t="s">
        <v>756</v>
      </c>
      <c r="F136" s="31" t="s">
        <v>711</v>
      </c>
      <c r="I136" t="s">
        <v>759</v>
      </c>
      <c r="J136" s="31" t="s">
        <v>111</v>
      </c>
      <c r="K136" s="43" t="s">
        <v>40</v>
      </c>
      <c r="L136" s="43" t="s">
        <v>120</v>
      </c>
      <c r="M136" s="43" t="s">
        <v>123</v>
      </c>
    </row>
    <row r="137" spans="1:13" x14ac:dyDescent="0.3">
      <c r="A137" t="s">
        <v>757</v>
      </c>
      <c r="B137" s="25">
        <v>135</v>
      </c>
      <c r="C137" s="19" t="str">
        <f t="shared" si="2"/>
        <v>JS_PRICING_MODEL_ORDER_STATUS_EXT_CD</v>
      </c>
      <c r="E137" t="s">
        <v>756</v>
      </c>
      <c r="F137" s="31" t="s">
        <v>712</v>
      </c>
      <c r="I137" t="s">
        <v>759</v>
      </c>
      <c r="J137" s="31" t="s">
        <v>112</v>
      </c>
      <c r="K137" s="43" t="s">
        <v>41</v>
      </c>
      <c r="L137" s="43" t="s">
        <v>275</v>
      </c>
      <c r="M137" s="43" t="s">
        <v>165</v>
      </c>
    </row>
    <row r="138" spans="1:13" x14ac:dyDescent="0.3">
      <c r="A138" t="s">
        <v>757</v>
      </c>
      <c r="B138" s="25">
        <v>136</v>
      </c>
      <c r="C138" s="19" t="str">
        <f t="shared" si="2"/>
        <v>JS_PROP_CO_TIER_EXT</v>
      </c>
      <c r="E138" t="s">
        <v>756</v>
      </c>
      <c r="F138" s="31" t="s">
        <v>713</v>
      </c>
      <c r="I138" t="s">
        <v>759</v>
      </c>
      <c r="J138" s="31" t="s">
        <v>113</v>
      </c>
      <c r="K138" s="43" t="s">
        <v>42</v>
      </c>
      <c r="L138" s="43" t="s">
        <v>275</v>
      </c>
      <c r="M138" s="43" t="s">
        <v>165</v>
      </c>
    </row>
    <row r="139" spans="1:13" x14ac:dyDescent="0.3">
      <c r="A139" t="s">
        <v>757</v>
      </c>
      <c r="B139" s="25">
        <v>137</v>
      </c>
      <c r="C139" s="19" t="str">
        <f t="shared" si="2"/>
        <v>JS_PROP_TIER_FCTR_EXT</v>
      </c>
      <c r="E139" t="s">
        <v>756</v>
      </c>
      <c r="F139" s="31" t="s">
        <v>714</v>
      </c>
      <c r="I139" t="s">
        <v>759</v>
      </c>
      <c r="J139" s="31" t="s">
        <v>114</v>
      </c>
      <c r="K139" s="43" t="s">
        <v>43</v>
      </c>
      <c r="L139" s="43" t="s">
        <v>119</v>
      </c>
      <c r="M139" s="43" t="s">
        <v>577</v>
      </c>
    </row>
    <row r="140" spans="1:13" x14ac:dyDescent="0.3">
      <c r="A140" t="s">
        <v>757</v>
      </c>
      <c r="B140" s="25">
        <v>138</v>
      </c>
      <c r="C140" s="19" t="str">
        <f t="shared" si="2"/>
        <v>JS_USER_UPDATED_COVG_CURR_FL</v>
      </c>
      <c r="E140" t="s">
        <v>756</v>
      </c>
      <c r="F140" s="31" t="s">
        <v>715</v>
      </c>
      <c r="I140" t="s">
        <v>759</v>
      </c>
      <c r="J140" s="31" t="s">
        <v>115</v>
      </c>
      <c r="K140" s="43" t="s">
        <v>44</v>
      </c>
      <c r="L140" s="43" t="s">
        <v>121</v>
      </c>
      <c r="M140" s="43" t="s">
        <v>165</v>
      </c>
    </row>
    <row r="141" spans="1:13" x14ac:dyDescent="0.3">
      <c r="A141" t="s">
        <v>757</v>
      </c>
      <c r="B141" s="25">
        <v>139</v>
      </c>
      <c r="C141" s="19" t="str">
        <f t="shared" si="2"/>
        <v>JS_USER_UPDATED_STTLMNT_CURR_FL</v>
      </c>
      <c r="E141" t="s">
        <v>756</v>
      </c>
      <c r="F141" s="31" t="s">
        <v>716</v>
      </c>
      <c r="I141" t="s">
        <v>759</v>
      </c>
      <c r="J141" s="31" t="s">
        <v>116</v>
      </c>
      <c r="K141" s="43" t="s">
        <v>46</v>
      </c>
      <c r="L141" s="43" t="s">
        <v>121</v>
      </c>
      <c r="M141" s="43" t="s">
        <v>165</v>
      </c>
    </row>
    <row r="142" spans="1:13" x14ac:dyDescent="0.3">
      <c r="A142" t="s">
        <v>757</v>
      </c>
      <c r="B142" s="25">
        <v>140</v>
      </c>
      <c r="C142" s="19" t="str">
        <f t="shared" si="2"/>
        <v>LO_EQ_TERR_EXT</v>
      </c>
      <c r="E142" t="s">
        <v>756</v>
      </c>
      <c r="F142" s="31" t="s">
        <v>717</v>
      </c>
      <c r="I142" t="s">
        <v>759</v>
      </c>
      <c r="J142" s="31" t="s">
        <v>146</v>
      </c>
      <c r="K142" s="43" t="s">
        <v>161</v>
      </c>
      <c r="L142" s="43" t="s">
        <v>98</v>
      </c>
      <c r="M142" s="43" t="s">
        <v>102</v>
      </c>
    </row>
    <row r="143" spans="1:13" x14ac:dyDescent="0.3">
      <c r="A143" t="s">
        <v>757</v>
      </c>
      <c r="B143" s="25">
        <v>141</v>
      </c>
      <c r="C143" s="19" t="str">
        <f t="shared" si="2"/>
        <v>LO_PREFD_STTLMNT_CURR_CD</v>
      </c>
      <c r="E143" t="s">
        <v>756</v>
      </c>
      <c r="F143" s="31" t="s">
        <v>718</v>
      </c>
      <c r="I143" t="s">
        <v>759</v>
      </c>
      <c r="J143" s="31" t="s">
        <v>110</v>
      </c>
      <c r="K143" s="43" t="s">
        <v>162</v>
      </c>
      <c r="L143" s="43" t="s">
        <v>98</v>
      </c>
      <c r="M143" s="43" t="s">
        <v>102</v>
      </c>
    </row>
    <row r="144" spans="1:13" x14ac:dyDescent="0.3">
      <c r="A144" t="s">
        <v>757</v>
      </c>
      <c r="B144" s="25">
        <v>142</v>
      </c>
      <c r="C144" s="19" t="str">
        <f t="shared" si="2"/>
        <v>LO_USER_UPDATED_COVG_CURR_FL</v>
      </c>
      <c r="E144" t="s">
        <v>756</v>
      </c>
      <c r="F144" s="31" t="s">
        <v>719</v>
      </c>
      <c r="I144" t="s">
        <v>759</v>
      </c>
      <c r="J144" s="31" t="s">
        <v>115</v>
      </c>
      <c r="K144" s="43" t="s">
        <v>163</v>
      </c>
      <c r="L144" s="43" t="s">
        <v>121</v>
      </c>
      <c r="M144" s="43" t="s">
        <v>165</v>
      </c>
    </row>
    <row r="145" spans="1:13" x14ac:dyDescent="0.3">
      <c r="A145" t="s">
        <v>757</v>
      </c>
      <c r="B145" s="25">
        <v>143</v>
      </c>
      <c r="C145" s="19" t="str">
        <f t="shared" si="2"/>
        <v>LO_USER_UPDATED_STTLMNT_CURR_FL</v>
      </c>
      <c r="E145" t="s">
        <v>756</v>
      </c>
      <c r="F145" s="31" t="s">
        <v>720</v>
      </c>
      <c r="I145" t="s">
        <v>759</v>
      </c>
      <c r="J145" s="31" t="s">
        <v>116</v>
      </c>
      <c r="K145" s="43" t="s">
        <v>164</v>
      </c>
      <c r="L145" s="43" t="s">
        <v>121</v>
      </c>
      <c r="M145" s="43" t="s">
        <v>165</v>
      </c>
    </row>
    <row r="146" spans="1:13" x14ac:dyDescent="0.3">
      <c r="A146" t="s">
        <v>757</v>
      </c>
      <c r="B146" s="25">
        <v>144</v>
      </c>
      <c r="C146" s="19" t="str">
        <f t="shared" si="2"/>
        <v>BL_INSURED_OCCUPIED_SQUARE_FEET</v>
      </c>
      <c r="E146" t="s">
        <v>756</v>
      </c>
      <c r="F146" s="31" t="s">
        <v>679</v>
      </c>
      <c r="I146" t="s">
        <v>759</v>
      </c>
      <c r="K146" s="43" t="s">
        <v>325</v>
      </c>
      <c r="L146" s="43" t="s">
        <v>274</v>
      </c>
      <c r="M146" s="43" t="s">
        <v>276</v>
      </c>
    </row>
    <row r="147" spans="1:13" x14ac:dyDescent="0.3">
      <c r="A147" t="s">
        <v>757</v>
      </c>
      <c r="B147" s="25">
        <v>145</v>
      </c>
      <c r="C147" s="19" t="str">
        <f t="shared" si="2"/>
        <v>BL_BCEG_CD_EXT</v>
      </c>
      <c r="E147" t="s">
        <v>756</v>
      </c>
      <c r="F147" s="31" t="s">
        <v>721</v>
      </c>
      <c r="I147" t="s">
        <v>759</v>
      </c>
      <c r="J147" s="31" t="s">
        <v>477</v>
      </c>
      <c r="K147" s="43" t="s">
        <v>549</v>
      </c>
      <c r="L147" s="43" t="s">
        <v>98</v>
      </c>
      <c r="M147" s="43" t="s">
        <v>102</v>
      </c>
    </row>
    <row r="148" spans="1:13" x14ac:dyDescent="0.3">
      <c r="A148" t="s">
        <v>757</v>
      </c>
      <c r="B148" s="25">
        <v>146</v>
      </c>
      <c r="C148" s="19" t="str">
        <f t="shared" si="2"/>
        <v>BL_BCEG_ERR_MSG_EXT</v>
      </c>
      <c r="E148" t="s">
        <v>756</v>
      </c>
      <c r="F148" s="31" t="s">
        <v>722</v>
      </c>
      <c r="I148" t="s">
        <v>759</v>
      </c>
      <c r="J148" s="31" t="s">
        <v>478</v>
      </c>
      <c r="K148" s="43" t="s">
        <v>550</v>
      </c>
      <c r="L148" s="43" t="s">
        <v>98</v>
      </c>
      <c r="M148" s="43" t="s">
        <v>102</v>
      </c>
    </row>
    <row r="149" spans="1:13" x14ac:dyDescent="0.3">
      <c r="A149" t="s">
        <v>757</v>
      </c>
      <c r="B149" s="25">
        <v>147</v>
      </c>
      <c r="C149" s="19" t="str">
        <f t="shared" si="2"/>
        <v>BL_BCEG_STAT_EXT_CD</v>
      </c>
      <c r="E149" t="s">
        <v>756</v>
      </c>
      <c r="F149" s="31" t="s">
        <v>723</v>
      </c>
      <c r="I149" t="s">
        <v>759</v>
      </c>
      <c r="J149" s="31" t="s">
        <v>479</v>
      </c>
      <c r="K149" s="43" t="s">
        <v>551</v>
      </c>
      <c r="L149" s="43" t="s">
        <v>98</v>
      </c>
      <c r="M149" s="43" t="s">
        <v>102</v>
      </c>
    </row>
    <row r="150" spans="1:13" x14ac:dyDescent="0.3">
      <c r="A150" t="s">
        <v>757</v>
      </c>
      <c r="B150" s="25">
        <v>148</v>
      </c>
      <c r="C150" s="19" t="str">
        <f t="shared" si="2"/>
        <v>BL_CE_SUBSTRUCTURE_TYPE_CD</v>
      </c>
      <c r="E150" t="s">
        <v>756</v>
      </c>
      <c r="F150" s="31" t="s">
        <v>724</v>
      </c>
      <c r="I150" t="s">
        <v>759</v>
      </c>
      <c r="J150" s="31" t="s">
        <v>480</v>
      </c>
      <c r="K150" s="43" t="s">
        <v>552</v>
      </c>
      <c r="L150" s="43" t="s">
        <v>98</v>
      </c>
      <c r="M150" s="43" t="s">
        <v>102</v>
      </c>
    </row>
    <row r="151" spans="1:13" x14ac:dyDescent="0.3">
      <c r="A151" t="s">
        <v>757</v>
      </c>
      <c r="B151" s="25">
        <v>149</v>
      </c>
      <c r="C151" s="19" t="str">
        <f t="shared" si="2"/>
        <v>BL_FREIGHT_ELEVATOR_MAT_TYPE_EXT</v>
      </c>
      <c r="E151" t="s">
        <v>756</v>
      </c>
      <c r="F151" s="31" t="s">
        <v>725</v>
      </c>
      <c r="I151" t="s">
        <v>759</v>
      </c>
      <c r="J151" s="31" t="s">
        <v>481</v>
      </c>
      <c r="K151" s="43" t="s">
        <v>553</v>
      </c>
      <c r="L151" s="43" t="s">
        <v>98</v>
      </c>
      <c r="M151" s="43" t="s">
        <v>102</v>
      </c>
    </row>
    <row r="152" spans="1:13" x14ac:dyDescent="0.3">
      <c r="A152" t="s">
        <v>757</v>
      </c>
      <c r="B152" s="25">
        <v>150</v>
      </c>
      <c r="C152" s="19" t="str">
        <f t="shared" si="2"/>
        <v>BL FREIGHT ELEVATORS EXT</v>
      </c>
      <c r="E152" t="s">
        <v>756</v>
      </c>
      <c r="F152" s="31" t="s">
        <v>726</v>
      </c>
      <c r="I152" t="s">
        <v>759</v>
      </c>
      <c r="J152" s="31" t="s">
        <v>482</v>
      </c>
      <c r="K152" s="43" t="s">
        <v>554</v>
      </c>
      <c r="L152" s="43" t="s">
        <v>274</v>
      </c>
      <c r="M152" s="43" t="s">
        <v>276</v>
      </c>
    </row>
    <row r="153" spans="1:13" x14ac:dyDescent="0.3">
      <c r="A153" t="s">
        <v>757</v>
      </c>
      <c r="B153" s="25">
        <v>151</v>
      </c>
      <c r="C153" s="19" t="str">
        <f t="shared" si="2"/>
        <v>BL_OCCPNCY_CD_EXT</v>
      </c>
      <c r="E153" t="s">
        <v>756</v>
      </c>
      <c r="F153" s="31" t="s">
        <v>727</v>
      </c>
      <c r="I153" t="s">
        <v>759</v>
      </c>
      <c r="J153" s="31" t="s">
        <v>483</v>
      </c>
      <c r="K153" s="43" t="s">
        <v>555</v>
      </c>
      <c r="L153" s="43" t="s">
        <v>98</v>
      </c>
      <c r="M153" s="43" t="s">
        <v>102</v>
      </c>
    </row>
    <row r="154" spans="1:13" x14ac:dyDescent="0.3">
      <c r="A154" t="s">
        <v>757</v>
      </c>
      <c r="B154" s="25">
        <v>152</v>
      </c>
      <c r="C154" s="19" t="str">
        <f t="shared" si="2"/>
        <v>BL_OCCPNCY_TEXT_EXT</v>
      </c>
      <c r="E154" t="s">
        <v>756</v>
      </c>
      <c r="F154" s="31" t="s">
        <v>728</v>
      </c>
      <c r="I154" t="s">
        <v>759</v>
      </c>
      <c r="J154" s="31" t="s">
        <v>484</v>
      </c>
      <c r="K154" s="43" t="s">
        <v>556</v>
      </c>
      <c r="L154" s="43" t="s">
        <v>98</v>
      </c>
      <c r="M154" s="43" t="s">
        <v>102</v>
      </c>
    </row>
    <row r="155" spans="1:13" x14ac:dyDescent="0.3">
      <c r="A155" t="s">
        <v>757</v>
      </c>
      <c r="B155" s="25">
        <v>153</v>
      </c>
      <c r="C155" s="19" t="str">
        <f t="shared" si="2"/>
        <v>BL_OVRD_OCC_CD_EXT_FL</v>
      </c>
      <c r="E155" t="s">
        <v>756</v>
      </c>
      <c r="F155" s="31" t="s">
        <v>729</v>
      </c>
      <c r="I155" t="s">
        <v>759</v>
      </c>
      <c r="J155" s="31" t="s">
        <v>485</v>
      </c>
      <c r="K155" s="43" t="s">
        <v>557</v>
      </c>
      <c r="L155" s="43" t="s">
        <v>121</v>
      </c>
      <c r="M155" s="43" t="s">
        <v>165</v>
      </c>
    </row>
    <row r="156" spans="1:13" x14ac:dyDescent="0.3">
      <c r="A156" t="s">
        <v>757</v>
      </c>
      <c r="B156" s="25">
        <v>154</v>
      </c>
      <c r="C156" s="19" t="str">
        <f t="shared" si="2"/>
        <v>BL_PASS_ELEVATOR_MAT_TYPE_EXT</v>
      </c>
      <c r="E156" t="s">
        <v>756</v>
      </c>
      <c r="F156" s="31" t="s">
        <v>730</v>
      </c>
      <c r="I156" t="s">
        <v>759</v>
      </c>
      <c r="J156" s="31" t="s">
        <v>486</v>
      </c>
      <c r="K156" s="43" t="s">
        <v>558</v>
      </c>
      <c r="L156" s="43" t="s">
        <v>98</v>
      </c>
      <c r="M156" s="43" t="s">
        <v>102</v>
      </c>
    </row>
    <row r="157" spans="1:13" x14ac:dyDescent="0.3">
      <c r="A157" t="s">
        <v>757</v>
      </c>
      <c r="B157" s="25">
        <v>155</v>
      </c>
      <c r="C157" s="19" t="str">
        <f t="shared" si="2"/>
        <v>BL_PSNGR_ELEVATORS_EXT</v>
      </c>
      <c r="E157" t="s">
        <v>756</v>
      </c>
      <c r="F157" s="31" t="s">
        <v>731</v>
      </c>
      <c r="I157" t="s">
        <v>759</v>
      </c>
      <c r="J157" s="31" t="s">
        <v>487</v>
      </c>
      <c r="K157" s="43" t="s">
        <v>559</v>
      </c>
      <c r="L157" s="43" t="s">
        <v>274</v>
      </c>
      <c r="M157" s="43" t="s">
        <v>276</v>
      </c>
    </row>
    <row r="158" spans="1:13" x14ac:dyDescent="0.3">
      <c r="A158" t="s">
        <v>757</v>
      </c>
      <c r="B158" s="25">
        <v>156</v>
      </c>
      <c r="C158" s="19" t="str">
        <f t="shared" si="2"/>
        <v>BL_PREFD_STTLMNT_CURR_CD</v>
      </c>
      <c r="E158" t="s">
        <v>756</v>
      </c>
      <c r="F158" s="31" t="s">
        <v>732</v>
      </c>
      <c r="I158" t="s">
        <v>759</v>
      </c>
      <c r="J158" s="31" t="s">
        <v>110</v>
      </c>
      <c r="K158" s="43" t="s">
        <v>560</v>
      </c>
      <c r="L158" s="43" t="s">
        <v>275</v>
      </c>
      <c r="M158" s="43" t="s">
        <v>102</v>
      </c>
    </row>
    <row r="159" spans="1:13" x14ac:dyDescent="0.3">
      <c r="A159" t="s">
        <v>757</v>
      </c>
      <c r="B159" s="25">
        <v>157</v>
      </c>
      <c r="C159" s="19" t="str">
        <f t="shared" si="2"/>
        <v>BL_SPRINKLER_MATERIAL_TYPE_EXT</v>
      </c>
      <c r="E159" t="s">
        <v>756</v>
      </c>
      <c r="F159" s="31" t="s">
        <v>733</v>
      </c>
      <c r="I159" t="s">
        <v>759</v>
      </c>
      <c r="J159" s="31" t="s">
        <v>488</v>
      </c>
      <c r="K159" s="43" t="s">
        <v>561</v>
      </c>
      <c r="L159" s="43" t="s">
        <v>275</v>
      </c>
      <c r="M159" s="43" t="s">
        <v>102</v>
      </c>
    </row>
    <row r="160" spans="1:13" x14ac:dyDescent="0.3">
      <c r="A160" t="s">
        <v>757</v>
      </c>
      <c r="B160" s="25">
        <v>158</v>
      </c>
      <c r="C160" s="19" t="str">
        <f t="shared" si="2"/>
        <v>BL_SPRINKLER_PCT_EXT</v>
      </c>
      <c r="E160" t="s">
        <v>756</v>
      </c>
      <c r="F160" s="31" t="s">
        <v>734</v>
      </c>
      <c r="I160" t="s">
        <v>759</v>
      </c>
      <c r="J160" s="31" t="s">
        <v>489</v>
      </c>
      <c r="K160" s="43" t="s">
        <v>562</v>
      </c>
      <c r="L160" s="43" t="s">
        <v>274</v>
      </c>
      <c r="M160" s="43" t="s">
        <v>276</v>
      </c>
    </row>
    <row r="161" spans="1:13" x14ac:dyDescent="0.3">
      <c r="A161" t="s">
        <v>757</v>
      </c>
      <c r="B161" s="25">
        <v>159</v>
      </c>
      <c r="C161" s="19" t="str">
        <f t="shared" si="2"/>
        <v>BL_SUBSTRUCTURE_AREA_EXT</v>
      </c>
      <c r="E161" t="s">
        <v>756</v>
      </c>
      <c r="F161" s="31" t="s">
        <v>735</v>
      </c>
      <c r="I161" t="s">
        <v>759</v>
      </c>
      <c r="J161" s="31" t="s">
        <v>490</v>
      </c>
      <c r="K161" s="43" t="s">
        <v>563</v>
      </c>
      <c r="L161" s="43" t="s">
        <v>274</v>
      </c>
      <c r="M161" s="43" t="s">
        <v>276</v>
      </c>
    </row>
    <row r="162" spans="1:13" x14ac:dyDescent="0.3">
      <c r="A162" t="s">
        <v>757</v>
      </c>
      <c r="B162" s="25">
        <v>160</v>
      </c>
      <c r="C162" s="19" t="str">
        <f t="shared" si="2"/>
        <v>BL_UPDATE_BCEG_EXT_FL</v>
      </c>
      <c r="E162" t="s">
        <v>756</v>
      </c>
      <c r="F162" s="31" t="s">
        <v>736</v>
      </c>
      <c r="I162" t="s">
        <v>759</v>
      </c>
      <c r="J162" s="31" t="s">
        <v>491</v>
      </c>
      <c r="K162" s="43" t="s">
        <v>564</v>
      </c>
      <c r="L162" s="43" t="s">
        <v>121</v>
      </c>
      <c r="M162" s="43" t="s">
        <v>165</v>
      </c>
    </row>
    <row r="163" spans="1:13" x14ac:dyDescent="0.3">
      <c r="A163" t="s">
        <v>757</v>
      </c>
      <c r="B163" s="25">
        <v>161</v>
      </c>
      <c r="C163" s="19" t="str">
        <f t="shared" si="2"/>
        <v>BL_UPDATE_ITV_EXT_FL</v>
      </c>
      <c r="E163" t="s">
        <v>756</v>
      </c>
      <c r="F163" s="31" t="s">
        <v>737</v>
      </c>
      <c r="I163" t="s">
        <v>759</v>
      </c>
      <c r="J163" s="31" t="s">
        <v>492</v>
      </c>
      <c r="K163" s="43" t="s">
        <v>565</v>
      </c>
      <c r="L163" s="43" t="s">
        <v>121</v>
      </c>
      <c r="M163" s="43" t="s">
        <v>165</v>
      </c>
    </row>
    <row r="164" spans="1:13" x14ac:dyDescent="0.3">
      <c r="A164" t="s">
        <v>757</v>
      </c>
      <c r="B164" s="25">
        <v>162</v>
      </c>
      <c r="C164" s="19" t="str">
        <f t="shared" si="2"/>
        <v>BL_USER_UPDATED_COVG_CURR_FL</v>
      </c>
      <c r="E164" t="s">
        <v>756</v>
      </c>
      <c r="F164" s="31" t="s">
        <v>738</v>
      </c>
      <c r="I164" t="s">
        <v>759</v>
      </c>
      <c r="J164" s="31" t="s">
        <v>115</v>
      </c>
      <c r="K164" s="43" t="s">
        <v>566</v>
      </c>
      <c r="L164" s="43" t="s">
        <v>121</v>
      </c>
      <c r="M164" s="43" t="s">
        <v>165</v>
      </c>
    </row>
    <row r="165" spans="1:13" x14ac:dyDescent="0.3">
      <c r="A165" t="s">
        <v>757</v>
      </c>
      <c r="B165" s="25">
        <v>163</v>
      </c>
      <c r="C165" s="19" t="str">
        <f t="shared" si="2"/>
        <v>BL_USER_UPDATED_STTLMNT_CURR_FL</v>
      </c>
      <c r="E165" t="s">
        <v>756</v>
      </c>
      <c r="F165" s="31" t="s">
        <v>739</v>
      </c>
      <c r="I165" t="s">
        <v>759</v>
      </c>
      <c r="J165" s="31" t="s">
        <v>116</v>
      </c>
      <c r="K165" s="43" t="s">
        <v>567</v>
      </c>
      <c r="L165" s="43" t="s">
        <v>121</v>
      </c>
      <c r="M165" s="43" t="s">
        <v>165</v>
      </c>
    </row>
    <row r="166" spans="1:13" x14ac:dyDescent="0.3">
      <c r="A166" t="s">
        <v>757</v>
      </c>
      <c r="B166" s="25">
        <v>164</v>
      </c>
      <c r="C166" s="19" t="str">
        <f t="shared" si="2"/>
        <v>BL_VACANT_SQUARE_FEET_EXT</v>
      </c>
      <c r="E166" t="s">
        <v>756</v>
      </c>
      <c r="F166" s="31" t="s">
        <v>740</v>
      </c>
      <c r="I166" t="s">
        <v>759</v>
      </c>
      <c r="J166" s="31" t="s">
        <v>493</v>
      </c>
      <c r="K166" s="43" t="s">
        <v>568</v>
      </c>
      <c r="L166" s="43" t="s">
        <v>274</v>
      </c>
      <c r="M166" s="43" t="s">
        <v>276</v>
      </c>
    </row>
    <row r="167" spans="1:13" x14ac:dyDescent="0.3">
      <c r="A167" t="s">
        <v>757</v>
      </c>
      <c r="B167" s="25">
        <v>165</v>
      </c>
      <c r="C167" s="19" t="str">
        <f t="shared" si="2"/>
        <v>CL_AUDITED_EXPSR_EXT</v>
      </c>
      <c r="E167" t="s">
        <v>756</v>
      </c>
      <c r="F167" s="31" t="s">
        <v>741</v>
      </c>
      <c r="I167" t="s">
        <v>759</v>
      </c>
      <c r="J167" s="31" t="s">
        <v>221</v>
      </c>
      <c r="K167" s="43" t="s">
        <v>260</v>
      </c>
      <c r="L167" s="43" t="s">
        <v>274</v>
      </c>
      <c r="M167" s="43" t="s">
        <v>276</v>
      </c>
    </row>
    <row r="168" spans="1:13" x14ac:dyDescent="0.3">
      <c r="A168" t="s">
        <v>757</v>
      </c>
      <c r="B168" s="25">
        <v>166</v>
      </c>
      <c r="C168" s="19" t="str">
        <f t="shared" si="2"/>
        <v>CL_BUS_CERT_EXT</v>
      </c>
      <c r="E168" t="s">
        <v>756</v>
      </c>
      <c r="F168" s="31" t="s">
        <v>742</v>
      </c>
      <c r="I168" t="s">
        <v>759</v>
      </c>
      <c r="J168" s="31" t="s">
        <v>222</v>
      </c>
      <c r="K168" s="43" t="s">
        <v>261</v>
      </c>
      <c r="L168" s="43" t="s">
        <v>275</v>
      </c>
      <c r="M168" s="43" t="s">
        <v>102</v>
      </c>
    </row>
    <row r="169" spans="1:13" x14ac:dyDescent="0.3">
      <c r="A169" t="s">
        <v>757</v>
      </c>
      <c r="B169" s="25">
        <v>167</v>
      </c>
      <c r="C169" s="19" t="str">
        <f t="shared" si="2"/>
        <v>CL_CNTRCT_IA_CD_CH_EXT</v>
      </c>
      <c r="E169" t="s">
        <v>756</v>
      </c>
      <c r="F169" s="31" t="s">
        <v>743</v>
      </c>
      <c r="I169" t="s">
        <v>759</v>
      </c>
      <c r="J169" s="31" t="s">
        <v>223</v>
      </c>
      <c r="K169" s="43" t="s">
        <v>262</v>
      </c>
      <c r="L169" s="43" t="s">
        <v>98</v>
      </c>
      <c r="M169" s="43" t="s">
        <v>102</v>
      </c>
    </row>
    <row r="170" spans="1:13" x14ac:dyDescent="0.3">
      <c r="A170" t="s">
        <v>757</v>
      </c>
      <c r="B170" s="25">
        <v>168</v>
      </c>
      <c r="C170" s="19" t="str">
        <f t="shared" si="2"/>
        <v>CL_CONDO_LAW_DEC_EXT</v>
      </c>
      <c r="E170" t="s">
        <v>756</v>
      </c>
      <c r="F170" s="31" t="s">
        <v>744</v>
      </c>
      <c r="I170" t="s">
        <v>759</v>
      </c>
      <c r="J170" s="31" t="s">
        <v>224</v>
      </c>
      <c r="K170" s="43" t="s">
        <v>263</v>
      </c>
      <c r="L170" s="43" t="s">
        <v>98</v>
      </c>
      <c r="M170" s="43" t="s">
        <v>102</v>
      </c>
    </row>
    <row r="171" spans="1:13" x14ac:dyDescent="0.3">
      <c r="A171" t="s">
        <v>757</v>
      </c>
      <c r="B171" s="25">
        <v>169</v>
      </c>
      <c r="C171" s="19" t="str">
        <f t="shared" si="2"/>
        <v>CL_CONDO_LAW_PROJ_EXT</v>
      </c>
      <c r="E171" t="s">
        <v>756</v>
      </c>
      <c r="F171" s="31" t="s">
        <v>745</v>
      </c>
      <c r="I171" t="s">
        <v>759</v>
      </c>
      <c r="J171" s="31" t="s">
        <v>226</v>
      </c>
      <c r="K171" s="43" t="s">
        <v>264</v>
      </c>
      <c r="L171" s="43" t="s">
        <v>98</v>
      </c>
      <c r="M171" s="43" t="s">
        <v>102</v>
      </c>
    </row>
    <row r="172" spans="1:13" x14ac:dyDescent="0.3">
      <c r="A172" t="s">
        <v>757</v>
      </c>
      <c r="B172" s="25">
        <v>170</v>
      </c>
      <c r="C172" s="19" t="str">
        <f t="shared" si="2"/>
        <v>CL_EQ_FCTR_EXT</v>
      </c>
      <c r="E172" t="s">
        <v>756</v>
      </c>
      <c r="F172" s="31" t="s">
        <v>746</v>
      </c>
      <c r="I172" t="s">
        <v>759</v>
      </c>
      <c r="J172" s="31" t="s">
        <v>227</v>
      </c>
      <c r="K172" s="43" t="s">
        <v>265</v>
      </c>
      <c r="L172" s="43" t="s">
        <v>98</v>
      </c>
      <c r="M172" s="43" t="s">
        <v>102</v>
      </c>
    </row>
    <row r="173" spans="1:13" x14ac:dyDescent="0.3">
      <c r="A173" t="s">
        <v>757</v>
      </c>
      <c r="B173" s="25">
        <v>171</v>
      </c>
      <c r="C173" s="19" t="str">
        <f t="shared" si="2"/>
        <v>CL_EQ_SUB_LMT_FCTR_EXT</v>
      </c>
      <c r="E173" t="s">
        <v>756</v>
      </c>
      <c r="F173" s="31" t="s">
        <v>747</v>
      </c>
      <c r="I173" t="s">
        <v>759</v>
      </c>
      <c r="J173" s="31" t="s">
        <v>228</v>
      </c>
      <c r="K173" s="43" t="s">
        <v>569</v>
      </c>
      <c r="L173" s="43" t="s">
        <v>98</v>
      </c>
      <c r="M173" s="43" t="s">
        <v>102</v>
      </c>
    </row>
    <row r="174" spans="1:13" x14ac:dyDescent="0.3">
      <c r="A174" t="s">
        <v>757</v>
      </c>
      <c r="B174" s="25">
        <v>172</v>
      </c>
      <c r="C174" s="19" t="str">
        <f t="shared" si="2"/>
        <v>CL_IF_ANY_BASIS_EXT</v>
      </c>
      <c r="E174" t="s">
        <v>756</v>
      </c>
      <c r="F174" s="31" t="s">
        <v>748</v>
      </c>
      <c r="I174" t="s">
        <v>759</v>
      </c>
      <c r="J174" s="31" t="s">
        <v>229</v>
      </c>
      <c r="K174" s="43" t="s">
        <v>272</v>
      </c>
      <c r="L174" s="43" t="s">
        <v>98</v>
      </c>
      <c r="M174" s="43" t="s">
        <v>102</v>
      </c>
    </row>
    <row r="175" spans="1:13" x14ac:dyDescent="0.3">
      <c r="A175" t="s">
        <v>757</v>
      </c>
      <c r="B175" s="25">
        <v>173</v>
      </c>
      <c r="C175" s="19" t="str">
        <f t="shared" si="2"/>
        <v>CL_NO_OF_CAR_WASH_BAYS_EXT</v>
      </c>
      <c r="E175" t="s">
        <v>756</v>
      </c>
      <c r="F175" s="31" t="s">
        <v>749</v>
      </c>
      <c r="I175" t="s">
        <v>759</v>
      </c>
      <c r="J175" s="31" t="s">
        <v>230</v>
      </c>
      <c r="K175" s="43" t="s">
        <v>273</v>
      </c>
      <c r="L175" s="43" t="s">
        <v>274</v>
      </c>
      <c r="M175" s="43" t="s">
        <v>276</v>
      </c>
    </row>
    <row r="176" spans="1:13" x14ac:dyDescent="0.3">
      <c r="A176" t="s">
        <v>757</v>
      </c>
      <c r="B176" s="25">
        <v>174</v>
      </c>
      <c r="C176" s="19" t="str">
        <f t="shared" si="2"/>
        <v>CL_NO_OF_FUEL_PUMPS_EXT</v>
      </c>
      <c r="E176" t="s">
        <v>756</v>
      </c>
      <c r="F176" s="31" t="s">
        <v>750</v>
      </c>
      <c r="I176" t="s">
        <v>759</v>
      </c>
      <c r="J176" s="31" t="s">
        <v>231</v>
      </c>
      <c r="K176" s="43" t="s">
        <v>267</v>
      </c>
      <c r="L176" s="43" t="s">
        <v>274</v>
      </c>
      <c r="M176" s="43" t="s">
        <v>276</v>
      </c>
    </row>
    <row r="177" spans="1:13" x14ac:dyDescent="0.3">
      <c r="A177" t="s">
        <v>757</v>
      </c>
      <c r="B177" s="25">
        <v>175</v>
      </c>
      <c r="C177" s="19" t="str">
        <f t="shared" si="2"/>
        <v>CL_PEST_HERB_POLL_EXT</v>
      </c>
      <c r="E177" t="s">
        <v>756</v>
      </c>
      <c r="F177" s="31" t="s">
        <v>751</v>
      </c>
      <c r="I177" t="s">
        <v>759</v>
      </c>
      <c r="J177" s="31" t="s">
        <v>232</v>
      </c>
      <c r="K177" s="43" t="s">
        <v>268</v>
      </c>
      <c r="L177" s="43" t="s">
        <v>98</v>
      </c>
      <c r="M177" s="43" t="s">
        <v>102</v>
      </c>
    </row>
    <row r="178" spans="1:13" x14ac:dyDescent="0.3">
      <c r="A178" t="s">
        <v>757</v>
      </c>
      <c r="B178" s="25">
        <v>176</v>
      </c>
      <c r="C178" s="19" t="str">
        <f t="shared" si="2"/>
        <v>CL_PREFD_STTLMNT_CURR_CD</v>
      </c>
      <c r="E178" t="s">
        <v>756</v>
      </c>
      <c r="F178" s="31" t="s">
        <v>752</v>
      </c>
      <c r="I178" t="s">
        <v>759</v>
      </c>
      <c r="J178" s="31" t="s">
        <v>110</v>
      </c>
      <c r="K178" s="43" t="s">
        <v>269</v>
      </c>
      <c r="L178" s="43" t="s">
        <v>98</v>
      </c>
      <c r="M178" s="43" t="s">
        <v>102</v>
      </c>
    </row>
    <row r="179" spans="1:13" x14ac:dyDescent="0.3">
      <c r="A179" t="s">
        <v>757</v>
      </c>
      <c r="B179" s="25">
        <v>177</v>
      </c>
      <c r="C179" s="19" t="str">
        <f t="shared" si="2"/>
        <v>CL_USER_UPDATED_COVG_CURR_FL</v>
      </c>
      <c r="E179" t="s">
        <v>756</v>
      </c>
      <c r="F179" s="31" t="s">
        <v>753</v>
      </c>
      <c r="I179" t="s">
        <v>759</v>
      </c>
      <c r="J179" s="31" t="s">
        <v>115</v>
      </c>
      <c r="K179" s="43" t="s">
        <v>270</v>
      </c>
      <c r="L179" s="43" t="s">
        <v>121</v>
      </c>
      <c r="M179" s="43" t="s">
        <v>165</v>
      </c>
    </row>
    <row r="180" spans="1:13" x14ac:dyDescent="0.3">
      <c r="A180" t="s">
        <v>757</v>
      </c>
      <c r="B180" s="25">
        <v>178</v>
      </c>
      <c r="C180" s="19" t="str">
        <f t="shared" si="2"/>
        <v>CL_USER_UPDATED_STTLMNT_CURR_FL</v>
      </c>
      <c r="E180" t="s">
        <v>756</v>
      </c>
      <c r="F180" s="31" t="s">
        <v>754</v>
      </c>
      <c r="I180" t="s">
        <v>759</v>
      </c>
      <c r="J180" s="31" t="s">
        <v>116</v>
      </c>
      <c r="K180" s="43" t="s">
        <v>271</v>
      </c>
      <c r="L180" s="43" t="s">
        <v>121</v>
      </c>
      <c r="M180" s="43" t="s">
        <v>165</v>
      </c>
    </row>
  </sheetData>
  <mergeCells count="4">
    <mergeCell ref="A1:C1"/>
    <mergeCell ref="J1:N1"/>
    <mergeCell ref="H3:H33"/>
    <mergeCell ref="G3:G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155C-8020-487B-AA8C-FC8C9F779607}">
  <dimension ref="A2:A268"/>
  <sheetViews>
    <sheetView topLeftCell="A208" workbookViewId="0">
      <selection activeCell="F273" sqref="F273"/>
    </sheetView>
  </sheetViews>
  <sheetFormatPr defaultRowHeight="14.4" x14ac:dyDescent="0.3"/>
  <sheetData>
    <row r="2" spans="1:1" x14ac:dyDescent="0.3">
      <c r="A2" t="s">
        <v>761</v>
      </c>
    </row>
    <row r="3" spans="1:1" x14ac:dyDescent="0.3">
      <c r="A3" t="s">
        <v>762</v>
      </c>
    </row>
    <row r="4" spans="1:1" x14ac:dyDescent="0.3">
      <c r="A4" t="s">
        <v>763</v>
      </c>
    </row>
    <row r="6" spans="1:1" x14ac:dyDescent="0.3">
      <c r="A6" t="s">
        <v>764</v>
      </c>
    </row>
    <row r="7" spans="1:1" x14ac:dyDescent="0.3">
      <c r="A7" t="s">
        <v>765</v>
      </c>
    </row>
    <row r="8" spans="1:1" x14ac:dyDescent="0.3">
      <c r="A8" t="s">
        <v>766</v>
      </c>
    </row>
    <row r="9" spans="1:1" x14ac:dyDescent="0.3">
      <c r="A9" t="s">
        <v>767</v>
      </c>
    </row>
    <row r="10" spans="1:1" x14ac:dyDescent="0.3">
      <c r="A10" t="s">
        <v>768</v>
      </c>
    </row>
    <row r="11" spans="1:1" x14ac:dyDescent="0.3">
      <c r="A11" t="s">
        <v>769</v>
      </c>
    </row>
    <row r="12" spans="1:1" x14ac:dyDescent="0.3">
      <c r="A12" t="s">
        <v>763</v>
      </c>
    </row>
    <row r="14" spans="1:1" x14ac:dyDescent="0.3">
      <c r="A14" t="s">
        <v>770</v>
      </c>
    </row>
    <row r="15" spans="1:1" x14ac:dyDescent="0.3">
      <c r="A15" t="s">
        <v>765</v>
      </c>
    </row>
    <row r="16" spans="1:1" x14ac:dyDescent="0.3">
      <c r="A16" t="s">
        <v>771</v>
      </c>
    </row>
    <row r="17" spans="1:1" x14ac:dyDescent="0.3">
      <c r="A17" t="s">
        <v>767</v>
      </c>
    </row>
    <row r="18" spans="1:1" x14ac:dyDescent="0.3">
      <c r="A18" t="s">
        <v>772</v>
      </c>
    </row>
    <row r="19" spans="1:1" x14ac:dyDescent="0.3">
      <c r="A19" t="s">
        <v>769</v>
      </c>
    </row>
    <row r="20" spans="1:1" x14ac:dyDescent="0.3">
      <c r="A20" t="s">
        <v>763</v>
      </c>
    </row>
    <row r="22" spans="1:1" x14ac:dyDescent="0.3">
      <c r="A22" t="s">
        <v>773</v>
      </c>
    </row>
    <row r="23" spans="1:1" x14ac:dyDescent="0.3">
      <c r="A23" t="s">
        <v>765</v>
      </c>
    </row>
    <row r="24" spans="1:1" x14ac:dyDescent="0.3">
      <c r="A24" t="s">
        <v>774</v>
      </c>
    </row>
    <row r="25" spans="1:1" x14ac:dyDescent="0.3">
      <c r="A25" t="s">
        <v>767</v>
      </c>
    </row>
    <row r="26" spans="1:1" x14ac:dyDescent="0.3">
      <c r="A26" t="s">
        <v>775</v>
      </c>
    </row>
    <row r="27" spans="1:1" x14ac:dyDescent="0.3">
      <c r="A27" t="s">
        <v>769</v>
      </c>
    </row>
    <row r="28" spans="1:1" x14ac:dyDescent="0.3">
      <c r="A28" t="s">
        <v>763</v>
      </c>
    </row>
    <row r="30" spans="1:1" x14ac:dyDescent="0.3">
      <c r="A30" t="s">
        <v>776</v>
      </c>
    </row>
    <row r="31" spans="1:1" x14ac:dyDescent="0.3">
      <c r="A31" t="s">
        <v>777</v>
      </c>
    </row>
    <row r="32" spans="1:1" x14ac:dyDescent="0.3">
      <c r="A32" t="s">
        <v>778</v>
      </c>
    </row>
    <row r="33" spans="1:1" x14ac:dyDescent="0.3">
      <c r="A33" t="s">
        <v>779</v>
      </c>
    </row>
    <row r="34" spans="1:1" x14ac:dyDescent="0.3">
      <c r="A34" t="s">
        <v>780</v>
      </c>
    </row>
    <row r="35" spans="1:1" x14ac:dyDescent="0.3">
      <c r="A35" t="s">
        <v>781</v>
      </c>
    </row>
    <row r="36" spans="1:1" x14ac:dyDescent="0.3">
      <c r="A36" t="s">
        <v>782</v>
      </c>
    </row>
    <row r="37" spans="1:1" x14ac:dyDescent="0.3">
      <c r="A37" t="s">
        <v>783</v>
      </c>
    </row>
    <row r="38" spans="1:1" x14ac:dyDescent="0.3">
      <c r="A38" t="s">
        <v>784</v>
      </c>
    </row>
    <row r="39" spans="1:1" x14ac:dyDescent="0.3">
      <c r="A39" t="s">
        <v>763</v>
      </c>
    </row>
    <row r="41" spans="1:1" x14ac:dyDescent="0.3">
      <c r="A41" t="s">
        <v>785</v>
      </c>
    </row>
    <row r="42" spans="1:1" x14ac:dyDescent="0.3">
      <c r="A42" t="s">
        <v>786</v>
      </c>
    </row>
    <row r="43" spans="1:1" x14ac:dyDescent="0.3">
      <c r="A43" t="s">
        <v>787</v>
      </c>
    </row>
    <row r="44" spans="1:1" x14ac:dyDescent="0.3">
      <c r="A44" t="s">
        <v>788</v>
      </c>
    </row>
    <row r="45" spans="1:1" x14ac:dyDescent="0.3">
      <c r="A45" t="s">
        <v>783</v>
      </c>
    </row>
    <row r="46" spans="1:1" x14ac:dyDescent="0.3">
      <c r="A46" t="s">
        <v>789</v>
      </c>
    </row>
    <row r="47" spans="1:1" x14ac:dyDescent="0.3">
      <c r="A47" t="s">
        <v>763</v>
      </c>
    </row>
    <row r="49" spans="1:1" x14ac:dyDescent="0.3">
      <c r="A49" t="s">
        <v>790</v>
      </c>
    </row>
    <row r="51" spans="1:1" x14ac:dyDescent="0.3">
      <c r="A51" t="s">
        <v>791</v>
      </c>
    </row>
    <row r="52" spans="1:1" x14ac:dyDescent="0.3">
      <c r="A52" t="s">
        <v>792</v>
      </c>
    </row>
    <row r="53" spans="1:1" x14ac:dyDescent="0.3">
      <c r="A53" t="s">
        <v>793</v>
      </c>
    </row>
    <row r="54" spans="1:1" x14ac:dyDescent="0.3">
      <c r="A54" t="s">
        <v>794</v>
      </c>
    </row>
    <row r="55" spans="1:1" x14ac:dyDescent="0.3">
      <c r="A55" t="s">
        <v>795</v>
      </c>
    </row>
    <row r="56" spans="1:1" x14ac:dyDescent="0.3">
      <c r="A56" t="s">
        <v>796</v>
      </c>
    </row>
    <row r="57" spans="1:1" x14ac:dyDescent="0.3">
      <c r="A57" t="s">
        <v>797</v>
      </c>
    </row>
    <row r="58" spans="1:1" x14ac:dyDescent="0.3">
      <c r="A58" t="s">
        <v>798</v>
      </c>
    </row>
    <row r="60" spans="1:1" x14ac:dyDescent="0.3">
      <c r="A60" t="s">
        <v>799</v>
      </c>
    </row>
    <row r="61" spans="1:1" x14ac:dyDescent="0.3">
      <c r="A61" t="s">
        <v>800</v>
      </c>
    </row>
    <row r="63" spans="1:1" x14ac:dyDescent="0.3">
      <c r="A63" t="s">
        <v>801</v>
      </c>
    </row>
    <row r="64" spans="1:1" x14ac:dyDescent="0.3">
      <c r="A64" t="s">
        <v>802</v>
      </c>
    </row>
    <row r="65" spans="1:1" x14ac:dyDescent="0.3">
      <c r="A65" t="s">
        <v>803</v>
      </c>
    </row>
    <row r="66" spans="1:1" x14ac:dyDescent="0.3">
      <c r="A66" t="s">
        <v>804</v>
      </c>
    </row>
    <row r="67" spans="1:1" x14ac:dyDescent="0.3">
      <c r="A67" t="s">
        <v>805</v>
      </c>
    </row>
    <row r="68" spans="1:1" x14ac:dyDescent="0.3">
      <c r="A68" t="s">
        <v>806</v>
      </c>
    </row>
    <row r="69" spans="1:1" x14ac:dyDescent="0.3">
      <c r="A69" t="s">
        <v>807</v>
      </c>
    </row>
    <row r="71" spans="1:1" x14ac:dyDescent="0.3">
      <c r="A71" t="s">
        <v>808</v>
      </c>
    </row>
    <row r="72" spans="1:1" x14ac:dyDescent="0.3">
      <c r="A72" t="s">
        <v>809</v>
      </c>
    </row>
    <row r="73" spans="1:1" x14ac:dyDescent="0.3">
      <c r="A73" t="s">
        <v>810</v>
      </c>
    </row>
    <row r="74" spans="1:1" x14ac:dyDescent="0.3">
      <c r="A74" t="s">
        <v>804</v>
      </c>
    </row>
    <row r="75" spans="1:1" x14ac:dyDescent="0.3">
      <c r="A75" t="s">
        <v>811</v>
      </c>
    </row>
    <row r="77" spans="1:1" x14ac:dyDescent="0.3">
      <c r="A77" t="s">
        <v>812</v>
      </c>
    </row>
    <row r="78" spans="1:1" x14ac:dyDescent="0.3">
      <c r="A78" t="s">
        <v>802</v>
      </c>
    </row>
    <row r="79" spans="1:1" x14ac:dyDescent="0.3">
      <c r="A79" t="s">
        <v>813</v>
      </c>
    </row>
    <row r="80" spans="1:1" x14ac:dyDescent="0.3">
      <c r="A80" t="s">
        <v>804</v>
      </c>
    </row>
    <row r="81" spans="1:1" x14ac:dyDescent="0.3">
      <c r="A81" t="s">
        <v>814</v>
      </c>
    </row>
    <row r="83" spans="1:1" x14ac:dyDescent="0.3">
      <c r="A83" t="s">
        <v>815</v>
      </c>
    </row>
    <row r="84" spans="1:1" x14ac:dyDescent="0.3">
      <c r="A84" t="s">
        <v>816</v>
      </c>
    </row>
    <row r="85" spans="1:1" x14ac:dyDescent="0.3">
      <c r="A85" t="s">
        <v>817</v>
      </c>
    </row>
    <row r="86" spans="1:1" x14ac:dyDescent="0.3">
      <c r="A86" t="s">
        <v>818</v>
      </c>
    </row>
    <row r="87" spans="1:1" x14ac:dyDescent="0.3">
      <c r="A87" t="s">
        <v>819</v>
      </c>
    </row>
    <row r="88" spans="1:1" x14ac:dyDescent="0.3">
      <c r="A88" t="s">
        <v>820</v>
      </c>
    </row>
    <row r="89" spans="1:1" x14ac:dyDescent="0.3">
      <c r="A89" t="s">
        <v>821</v>
      </c>
    </row>
    <row r="90" spans="1:1" x14ac:dyDescent="0.3">
      <c r="A90" t="s">
        <v>822</v>
      </c>
    </row>
    <row r="91" spans="1:1" x14ac:dyDescent="0.3">
      <c r="A91" t="s">
        <v>823</v>
      </c>
    </row>
    <row r="92" spans="1:1" x14ac:dyDescent="0.3">
      <c r="A92" t="s">
        <v>824</v>
      </c>
    </row>
    <row r="93" spans="1:1" x14ac:dyDescent="0.3">
      <c r="A93" t="s">
        <v>825</v>
      </c>
    </row>
    <row r="94" spans="1:1" x14ac:dyDescent="0.3">
      <c r="A94" t="s">
        <v>826</v>
      </c>
    </row>
    <row r="95" spans="1:1" x14ac:dyDescent="0.3">
      <c r="A95" t="s">
        <v>827</v>
      </c>
    </row>
    <row r="96" spans="1:1" x14ac:dyDescent="0.3">
      <c r="A96" t="s">
        <v>828</v>
      </c>
    </row>
    <row r="97" spans="1:1" x14ac:dyDescent="0.3">
      <c r="A97" t="s">
        <v>829</v>
      </c>
    </row>
    <row r="98" spans="1:1" x14ac:dyDescent="0.3">
      <c r="A98" t="s">
        <v>830</v>
      </c>
    </row>
    <row r="99" spans="1:1" x14ac:dyDescent="0.3">
      <c r="A99" t="s">
        <v>831</v>
      </c>
    </row>
    <row r="100" spans="1:1" x14ac:dyDescent="0.3">
      <c r="A100" t="s">
        <v>832</v>
      </c>
    </row>
    <row r="101" spans="1:1" x14ac:dyDescent="0.3">
      <c r="A101" t="s">
        <v>833</v>
      </c>
    </row>
    <row r="103" spans="1:1" x14ac:dyDescent="0.3">
      <c r="A103" t="s">
        <v>834</v>
      </c>
    </row>
    <row r="105" spans="1:1" x14ac:dyDescent="0.3">
      <c r="A105" t="s">
        <v>835</v>
      </c>
    </row>
    <row r="106" spans="1:1" x14ac:dyDescent="0.3">
      <c r="A106" t="s">
        <v>836</v>
      </c>
    </row>
    <row r="107" spans="1:1" x14ac:dyDescent="0.3">
      <c r="A107" t="s">
        <v>837</v>
      </c>
    </row>
    <row r="108" spans="1:1" x14ac:dyDescent="0.3">
      <c r="A108" t="s">
        <v>838</v>
      </c>
    </row>
    <row r="109" spans="1:1" x14ac:dyDescent="0.3">
      <c r="A109" t="s">
        <v>839</v>
      </c>
    </row>
    <row r="110" spans="1:1" x14ac:dyDescent="0.3">
      <c r="A110" t="s">
        <v>840</v>
      </c>
    </row>
    <row r="111" spans="1:1" x14ac:dyDescent="0.3">
      <c r="A111" t="s">
        <v>841</v>
      </c>
    </row>
    <row r="112" spans="1:1" x14ac:dyDescent="0.3">
      <c r="A112" t="s">
        <v>842</v>
      </c>
    </row>
    <row r="113" spans="1:1" x14ac:dyDescent="0.3">
      <c r="A113" t="s">
        <v>843</v>
      </c>
    </row>
    <row r="114" spans="1:1" x14ac:dyDescent="0.3">
      <c r="A114" t="s">
        <v>844</v>
      </c>
    </row>
    <row r="115" spans="1:1" x14ac:dyDescent="0.3">
      <c r="A115" t="s">
        <v>845</v>
      </c>
    </row>
    <row r="116" spans="1:1" x14ac:dyDescent="0.3">
      <c r="A116" t="s">
        <v>846</v>
      </c>
    </row>
    <row r="117" spans="1:1" x14ac:dyDescent="0.3">
      <c r="A117" t="s">
        <v>847</v>
      </c>
    </row>
    <row r="118" spans="1:1" x14ac:dyDescent="0.3">
      <c r="A118" t="s">
        <v>848</v>
      </c>
    </row>
    <row r="119" spans="1:1" x14ac:dyDescent="0.3">
      <c r="A119" t="s">
        <v>842</v>
      </c>
    </row>
    <row r="120" spans="1:1" x14ac:dyDescent="0.3">
      <c r="A120" t="s">
        <v>843</v>
      </c>
    </row>
    <row r="121" spans="1:1" x14ac:dyDescent="0.3">
      <c r="A121" t="s">
        <v>849</v>
      </c>
    </row>
    <row r="122" spans="1:1" x14ac:dyDescent="0.3">
      <c r="A122" t="s">
        <v>850</v>
      </c>
    </row>
    <row r="123" spans="1:1" x14ac:dyDescent="0.3">
      <c r="A123" t="s">
        <v>851</v>
      </c>
    </row>
    <row r="124" spans="1:1" x14ac:dyDescent="0.3">
      <c r="A124" t="s">
        <v>852</v>
      </c>
    </row>
    <row r="125" spans="1:1" x14ac:dyDescent="0.3">
      <c r="A125" t="s">
        <v>853</v>
      </c>
    </row>
    <row r="126" spans="1:1" x14ac:dyDescent="0.3">
      <c r="A126" t="s">
        <v>854</v>
      </c>
    </row>
    <row r="127" spans="1:1" x14ac:dyDescent="0.3">
      <c r="A127" t="s">
        <v>855</v>
      </c>
    </row>
    <row r="128" spans="1:1" x14ac:dyDescent="0.3">
      <c r="A128" t="s">
        <v>856</v>
      </c>
    </row>
    <row r="130" spans="1:1" x14ac:dyDescent="0.3">
      <c r="A130" t="s">
        <v>857</v>
      </c>
    </row>
    <row r="132" spans="1:1" x14ac:dyDescent="0.3">
      <c r="A132" t="s">
        <v>858</v>
      </c>
    </row>
    <row r="134" spans="1:1" x14ac:dyDescent="0.3">
      <c r="A134" t="s">
        <v>859</v>
      </c>
    </row>
    <row r="136" spans="1:1" x14ac:dyDescent="0.3">
      <c r="A136" t="s">
        <v>860</v>
      </c>
    </row>
    <row r="137" spans="1:1" x14ac:dyDescent="0.3">
      <c r="A137" t="s">
        <v>861</v>
      </c>
    </row>
    <row r="138" spans="1:1" x14ac:dyDescent="0.3">
      <c r="A138" t="s">
        <v>862</v>
      </c>
    </row>
    <row r="139" spans="1:1" x14ac:dyDescent="0.3">
      <c r="A139" t="s">
        <v>863</v>
      </c>
    </row>
    <row r="140" spans="1:1" x14ac:dyDescent="0.3">
      <c r="A140" t="s">
        <v>864</v>
      </c>
    </row>
    <row r="141" spans="1:1" x14ac:dyDescent="0.3">
      <c r="A141" t="s">
        <v>865</v>
      </c>
    </row>
    <row r="142" spans="1:1" x14ac:dyDescent="0.3">
      <c r="A142" t="s">
        <v>866</v>
      </c>
    </row>
    <row r="144" spans="1:1" x14ac:dyDescent="0.3">
      <c r="A144" t="s">
        <v>867</v>
      </c>
    </row>
    <row r="146" spans="1:1" x14ac:dyDescent="0.3">
      <c r="A146" t="s">
        <v>868</v>
      </c>
    </row>
    <row r="148" spans="1:1" x14ac:dyDescent="0.3">
      <c r="A148" t="s">
        <v>860</v>
      </c>
    </row>
    <row r="149" spans="1:1" x14ac:dyDescent="0.3">
      <c r="A149" t="s">
        <v>869</v>
      </c>
    </row>
    <row r="150" spans="1:1" x14ac:dyDescent="0.3">
      <c r="A150" t="s">
        <v>870</v>
      </c>
    </row>
    <row r="151" spans="1:1" x14ac:dyDescent="0.3">
      <c r="A151" t="s">
        <v>871</v>
      </c>
    </row>
    <row r="152" spans="1:1" x14ac:dyDescent="0.3">
      <c r="A152" t="s">
        <v>872</v>
      </c>
    </row>
    <row r="153" spans="1:1" x14ac:dyDescent="0.3">
      <c r="A153" t="s">
        <v>873</v>
      </c>
    </row>
    <row r="154" spans="1:1" x14ac:dyDescent="0.3">
      <c r="A154" t="s">
        <v>874</v>
      </c>
    </row>
    <row r="155" spans="1:1" x14ac:dyDescent="0.3">
      <c r="A155" t="s">
        <v>875</v>
      </c>
    </row>
    <row r="156" spans="1:1" x14ac:dyDescent="0.3">
      <c r="A156" t="s">
        <v>876</v>
      </c>
    </row>
    <row r="157" spans="1:1" x14ac:dyDescent="0.3">
      <c r="A157" t="s">
        <v>862</v>
      </c>
    </row>
    <row r="158" spans="1:1" x14ac:dyDescent="0.3">
      <c r="A158" t="s">
        <v>863</v>
      </c>
    </row>
    <row r="159" spans="1:1" x14ac:dyDescent="0.3">
      <c r="A159" t="s">
        <v>864</v>
      </c>
    </row>
    <row r="160" spans="1:1" x14ac:dyDescent="0.3">
      <c r="A160" t="s">
        <v>877</v>
      </c>
    </row>
    <row r="161" spans="1:1" x14ac:dyDescent="0.3">
      <c r="A161" t="s">
        <v>878</v>
      </c>
    </row>
    <row r="162" spans="1:1" x14ac:dyDescent="0.3">
      <c r="A162" t="s">
        <v>879</v>
      </c>
    </row>
    <row r="163" spans="1:1" x14ac:dyDescent="0.3">
      <c r="A163" t="s">
        <v>880</v>
      </c>
    </row>
    <row r="164" spans="1:1" x14ac:dyDescent="0.3">
      <c r="A164" t="s">
        <v>881</v>
      </c>
    </row>
    <row r="165" spans="1:1" x14ac:dyDescent="0.3">
      <c r="A165" t="s">
        <v>882</v>
      </c>
    </row>
    <row r="166" spans="1:1" x14ac:dyDescent="0.3">
      <c r="A166" t="s">
        <v>883</v>
      </c>
    </row>
    <row r="167" spans="1:1" x14ac:dyDescent="0.3">
      <c r="A167" t="s">
        <v>884</v>
      </c>
    </row>
    <row r="168" spans="1:1" x14ac:dyDescent="0.3">
      <c r="A168" t="s">
        <v>885</v>
      </c>
    </row>
    <row r="169" spans="1:1" x14ac:dyDescent="0.3">
      <c r="A169" t="s">
        <v>886</v>
      </c>
    </row>
    <row r="170" spans="1:1" x14ac:dyDescent="0.3">
      <c r="A170" t="s">
        <v>887</v>
      </c>
    </row>
    <row r="171" spans="1:1" x14ac:dyDescent="0.3">
      <c r="A171" t="s">
        <v>888</v>
      </c>
    </row>
    <row r="172" spans="1:1" x14ac:dyDescent="0.3">
      <c r="A172" t="s">
        <v>889</v>
      </c>
    </row>
    <row r="173" spans="1:1" x14ac:dyDescent="0.3">
      <c r="A173" t="s">
        <v>890</v>
      </c>
    </row>
    <row r="175" spans="1:1" x14ac:dyDescent="0.3">
      <c r="A175" t="s">
        <v>867</v>
      </c>
    </row>
    <row r="177" spans="1:1" x14ac:dyDescent="0.3">
      <c r="A177" t="s">
        <v>891</v>
      </c>
    </row>
    <row r="179" spans="1:1" x14ac:dyDescent="0.3">
      <c r="A179" t="s">
        <v>892</v>
      </c>
    </row>
    <row r="180" spans="1:1" x14ac:dyDescent="0.3">
      <c r="A180" t="s">
        <v>893</v>
      </c>
    </row>
    <row r="182" spans="1:1" x14ac:dyDescent="0.3">
      <c r="A182" t="s">
        <v>894</v>
      </c>
    </row>
    <row r="184" spans="1:1" x14ac:dyDescent="0.3">
      <c r="A184" t="s">
        <v>895</v>
      </c>
    </row>
    <row r="185" spans="1:1" x14ac:dyDescent="0.3">
      <c r="A185" t="s">
        <v>896</v>
      </c>
    </row>
    <row r="186" spans="1:1" x14ac:dyDescent="0.3">
      <c r="A186" t="s">
        <v>897</v>
      </c>
    </row>
    <row r="187" spans="1:1" x14ac:dyDescent="0.3">
      <c r="A187" t="s">
        <v>898</v>
      </c>
    </row>
    <row r="188" spans="1:1" x14ac:dyDescent="0.3">
      <c r="A188" t="s">
        <v>899</v>
      </c>
    </row>
    <row r="189" spans="1:1" x14ac:dyDescent="0.3">
      <c r="A189" t="s">
        <v>900</v>
      </c>
    </row>
    <row r="190" spans="1:1" x14ac:dyDescent="0.3">
      <c r="A190" t="s">
        <v>901</v>
      </c>
    </row>
    <row r="191" spans="1:1" x14ac:dyDescent="0.3">
      <c r="A191" t="s">
        <v>902</v>
      </c>
    </row>
    <row r="192" spans="1:1" x14ac:dyDescent="0.3">
      <c r="A192" t="s">
        <v>903</v>
      </c>
    </row>
    <row r="193" spans="1:1" x14ac:dyDescent="0.3">
      <c r="A193" t="s">
        <v>881</v>
      </c>
    </row>
    <row r="194" spans="1:1" x14ac:dyDescent="0.3">
      <c r="A194" t="s">
        <v>882</v>
      </c>
    </row>
    <row r="195" spans="1:1" x14ac:dyDescent="0.3">
      <c r="A195" t="s">
        <v>904</v>
      </c>
    </row>
    <row r="197" spans="1:1" x14ac:dyDescent="0.3">
      <c r="A197" t="s">
        <v>905</v>
      </c>
    </row>
    <row r="199" spans="1:1" x14ac:dyDescent="0.3">
      <c r="A199" t="s">
        <v>835</v>
      </c>
    </row>
    <row r="200" spans="1:1" x14ac:dyDescent="0.3">
      <c r="A200" t="s">
        <v>836</v>
      </c>
    </row>
    <row r="201" spans="1:1" x14ac:dyDescent="0.3">
      <c r="A201" t="s">
        <v>837</v>
      </c>
    </row>
    <row r="202" spans="1:1" x14ac:dyDescent="0.3">
      <c r="A202" t="s">
        <v>838</v>
      </c>
    </row>
    <row r="203" spans="1:1" x14ac:dyDescent="0.3">
      <c r="A203" t="s">
        <v>839</v>
      </c>
    </row>
    <row r="204" spans="1:1" x14ac:dyDescent="0.3">
      <c r="A204" t="s">
        <v>840</v>
      </c>
    </row>
    <row r="205" spans="1:1" x14ac:dyDescent="0.3">
      <c r="A205" t="s">
        <v>841</v>
      </c>
    </row>
    <row r="206" spans="1:1" x14ac:dyDescent="0.3">
      <c r="A206" t="s">
        <v>842</v>
      </c>
    </row>
    <row r="207" spans="1:1" x14ac:dyDescent="0.3">
      <c r="A207" t="s">
        <v>843</v>
      </c>
    </row>
    <row r="208" spans="1:1" x14ac:dyDescent="0.3">
      <c r="A208" t="s">
        <v>844</v>
      </c>
    </row>
    <row r="209" spans="1:1" x14ac:dyDescent="0.3">
      <c r="A209" t="s">
        <v>845</v>
      </c>
    </row>
    <row r="210" spans="1:1" x14ac:dyDescent="0.3">
      <c r="A210" t="s">
        <v>846</v>
      </c>
    </row>
    <row r="211" spans="1:1" x14ac:dyDescent="0.3">
      <c r="A211" t="s">
        <v>847</v>
      </c>
    </row>
    <row r="212" spans="1:1" x14ac:dyDescent="0.3">
      <c r="A212" t="s">
        <v>848</v>
      </c>
    </row>
    <row r="213" spans="1:1" x14ac:dyDescent="0.3">
      <c r="A213" t="s">
        <v>842</v>
      </c>
    </row>
    <row r="214" spans="1:1" x14ac:dyDescent="0.3">
      <c r="A214" t="s">
        <v>843</v>
      </c>
    </row>
    <row r="215" spans="1:1" x14ac:dyDescent="0.3">
      <c r="A215" t="s">
        <v>849</v>
      </c>
    </row>
    <row r="216" spans="1:1" x14ac:dyDescent="0.3">
      <c r="A216" t="s">
        <v>850</v>
      </c>
    </row>
    <row r="217" spans="1:1" x14ac:dyDescent="0.3">
      <c r="A217" t="s">
        <v>851</v>
      </c>
    </row>
    <row r="218" spans="1:1" x14ac:dyDescent="0.3">
      <c r="A218" t="s">
        <v>852</v>
      </c>
    </row>
    <row r="219" spans="1:1" x14ac:dyDescent="0.3">
      <c r="A219" t="s">
        <v>853</v>
      </c>
    </row>
    <row r="220" spans="1:1" x14ac:dyDescent="0.3">
      <c r="A220" t="s">
        <v>854</v>
      </c>
    </row>
    <row r="221" spans="1:1" x14ac:dyDescent="0.3">
      <c r="A221" t="s">
        <v>855</v>
      </c>
    </row>
    <row r="222" spans="1:1" x14ac:dyDescent="0.3">
      <c r="A222" t="s">
        <v>906</v>
      </c>
    </row>
    <row r="224" spans="1:1" x14ac:dyDescent="0.3">
      <c r="A224" t="s">
        <v>857</v>
      </c>
    </row>
    <row r="226" spans="1:1" x14ac:dyDescent="0.3">
      <c r="A226" t="s">
        <v>763</v>
      </c>
    </row>
    <row r="228" spans="1:1" x14ac:dyDescent="0.3">
      <c r="A228" t="s">
        <v>907</v>
      </c>
    </row>
    <row r="229" spans="1:1" x14ac:dyDescent="0.3">
      <c r="A229" t="s">
        <v>908</v>
      </c>
    </row>
    <row r="230" spans="1:1" x14ac:dyDescent="0.3">
      <c r="A230" t="s">
        <v>909</v>
      </c>
    </row>
    <row r="231" spans="1:1" x14ac:dyDescent="0.3">
      <c r="A231" t="s">
        <v>910</v>
      </c>
    </row>
    <row r="232" spans="1:1" x14ac:dyDescent="0.3">
      <c r="A232" t="s">
        <v>911</v>
      </c>
    </row>
    <row r="234" spans="1:1" x14ac:dyDescent="0.3">
      <c r="A234" t="s">
        <v>912</v>
      </c>
    </row>
    <row r="235" spans="1:1" x14ac:dyDescent="0.3">
      <c r="A235" t="s">
        <v>913</v>
      </c>
    </row>
    <row r="236" spans="1:1" x14ac:dyDescent="0.3">
      <c r="A236" t="s">
        <v>767</v>
      </c>
    </row>
    <row r="237" spans="1:1" x14ac:dyDescent="0.3">
      <c r="A237" t="s">
        <v>914</v>
      </c>
    </row>
    <row r="238" spans="1:1" x14ac:dyDescent="0.3">
      <c r="A238" t="s">
        <v>915</v>
      </c>
    </row>
    <row r="239" spans="1:1" x14ac:dyDescent="0.3">
      <c r="A239" t="s">
        <v>916</v>
      </c>
    </row>
    <row r="240" spans="1:1" x14ac:dyDescent="0.3">
      <c r="A240" t="s">
        <v>917</v>
      </c>
    </row>
    <row r="241" spans="1:1" x14ac:dyDescent="0.3">
      <c r="A241" t="s">
        <v>918</v>
      </c>
    </row>
    <row r="243" spans="1:1" x14ac:dyDescent="0.3">
      <c r="A243" t="s">
        <v>919</v>
      </c>
    </row>
    <row r="244" spans="1:1" x14ac:dyDescent="0.3">
      <c r="A244" t="s">
        <v>920</v>
      </c>
    </row>
    <row r="245" spans="1:1" x14ac:dyDescent="0.3">
      <c r="A245" t="s">
        <v>921</v>
      </c>
    </row>
    <row r="246" spans="1:1" x14ac:dyDescent="0.3">
      <c r="A246" t="s">
        <v>917</v>
      </c>
    </row>
    <row r="248" spans="1:1" x14ac:dyDescent="0.3">
      <c r="A248" t="s">
        <v>922</v>
      </c>
    </row>
    <row r="249" spans="1:1" x14ac:dyDescent="0.3">
      <c r="A249" t="s">
        <v>915</v>
      </c>
    </row>
    <row r="250" spans="1:1" x14ac:dyDescent="0.3">
      <c r="A250" t="s">
        <v>923</v>
      </c>
    </row>
    <row r="251" spans="1:1" x14ac:dyDescent="0.3">
      <c r="A251" t="s">
        <v>917</v>
      </c>
    </row>
    <row r="253" spans="1:1" x14ac:dyDescent="0.3">
      <c r="A253" t="s">
        <v>924</v>
      </c>
    </row>
    <row r="254" spans="1:1" x14ac:dyDescent="0.3">
      <c r="A254" t="s">
        <v>925</v>
      </c>
    </row>
    <row r="255" spans="1:1" x14ac:dyDescent="0.3">
      <c r="A255" t="s">
        <v>926</v>
      </c>
    </row>
    <row r="256" spans="1:1" x14ac:dyDescent="0.3">
      <c r="A256" t="s">
        <v>927</v>
      </c>
    </row>
    <row r="257" spans="1:1" x14ac:dyDescent="0.3">
      <c r="A257" t="s">
        <v>928</v>
      </c>
    </row>
    <row r="258" spans="1:1" x14ac:dyDescent="0.3">
      <c r="A258" t="s">
        <v>929</v>
      </c>
    </row>
    <row r="259" spans="1:1" x14ac:dyDescent="0.3">
      <c r="A259" t="s">
        <v>930</v>
      </c>
    </row>
    <row r="260" spans="1:1" x14ac:dyDescent="0.3">
      <c r="A260" t="s">
        <v>931</v>
      </c>
    </row>
    <row r="261" spans="1:1" x14ac:dyDescent="0.3">
      <c r="A261" t="s">
        <v>932</v>
      </c>
    </row>
    <row r="262" spans="1:1" x14ac:dyDescent="0.3">
      <c r="A262" t="s">
        <v>933</v>
      </c>
    </row>
    <row r="263" spans="1:1" x14ac:dyDescent="0.3">
      <c r="A263" t="s">
        <v>934</v>
      </c>
    </row>
    <row r="264" spans="1:1" x14ac:dyDescent="0.3">
      <c r="A264" t="s">
        <v>935</v>
      </c>
    </row>
    <row r="265" spans="1:1" x14ac:dyDescent="0.3">
      <c r="A265" t="s">
        <v>936</v>
      </c>
    </row>
    <row r="266" spans="1:1" x14ac:dyDescent="0.3">
      <c r="A266" t="s">
        <v>937</v>
      </c>
    </row>
    <row r="267" spans="1:1" x14ac:dyDescent="0.3">
      <c r="A267" t="s">
        <v>769</v>
      </c>
    </row>
    <row r="268" spans="1:1" x14ac:dyDescent="0.3">
      <c r="A268" t="s">
        <v>763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1EDB-84C4-4D24-8B40-6B0571079808}">
  <dimension ref="A1"/>
  <sheetViews>
    <sheetView topLeftCell="A10" workbookViewId="0">
      <selection activeCell="S33" sqref="S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7F23-F35B-454B-88AF-C0A6DF1AA127}">
  <dimension ref="A3:A91"/>
  <sheetViews>
    <sheetView workbookViewId="0">
      <selection activeCell="K34" sqref="K34"/>
    </sheetView>
  </sheetViews>
  <sheetFormatPr defaultRowHeight="14.4" x14ac:dyDescent="0.3"/>
  <sheetData>
    <row r="3" spans="1:1" x14ac:dyDescent="0.3">
      <c r="A3" s="53" t="s">
        <v>938</v>
      </c>
    </row>
    <row r="4" spans="1:1" x14ac:dyDescent="0.3">
      <c r="A4" s="53" t="s">
        <v>939</v>
      </c>
    </row>
    <row r="5" spans="1:1" x14ac:dyDescent="0.3">
      <c r="A5" s="53" t="s">
        <v>940</v>
      </c>
    </row>
    <row r="6" spans="1:1" x14ac:dyDescent="0.3">
      <c r="A6" s="53" t="s">
        <v>941</v>
      </c>
    </row>
    <row r="7" spans="1:1" x14ac:dyDescent="0.3">
      <c r="A7" s="53" t="s">
        <v>942</v>
      </c>
    </row>
    <row r="8" spans="1:1" x14ac:dyDescent="0.3">
      <c r="A8" s="53" t="s">
        <v>943</v>
      </c>
    </row>
    <row r="9" spans="1:1" x14ac:dyDescent="0.3">
      <c r="A9" s="53" t="s">
        <v>944</v>
      </c>
    </row>
    <row r="10" spans="1:1" x14ac:dyDescent="0.3">
      <c r="A10" s="53" t="s">
        <v>945</v>
      </c>
    </row>
    <row r="11" spans="1:1" x14ac:dyDescent="0.3">
      <c r="A11" s="53" t="s">
        <v>946</v>
      </c>
    </row>
    <row r="12" spans="1:1" x14ac:dyDescent="0.3">
      <c r="A12" s="53" t="s">
        <v>947</v>
      </c>
    </row>
    <row r="13" spans="1:1" x14ac:dyDescent="0.3">
      <c r="A13" s="53" t="s">
        <v>948</v>
      </c>
    </row>
    <row r="14" spans="1:1" x14ac:dyDescent="0.3">
      <c r="A14" s="54"/>
    </row>
    <row r="15" spans="1:1" x14ac:dyDescent="0.3">
      <c r="A15" s="53" t="s">
        <v>949</v>
      </c>
    </row>
    <row r="16" spans="1:1" x14ac:dyDescent="0.3">
      <c r="A16" s="53" t="s">
        <v>950</v>
      </c>
    </row>
    <row r="17" spans="1:1" x14ac:dyDescent="0.3">
      <c r="A17" s="53" t="s">
        <v>951</v>
      </c>
    </row>
    <row r="18" spans="1:1" x14ac:dyDescent="0.3">
      <c r="A18" s="53" t="s">
        <v>952</v>
      </c>
    </row>
    <row r="19" spans="1:1" x14ac:dyDescent="0.3">
      <c r="A19" s="53" t="s">
        <v>953</v>
      </c>
    </row>
    <row r="20" spans="1:1" x14ac:dyDescent="0.3">
      <c r="A20" s="53" t="s">
        <v>954</v>
      </c>
    </row>
    <row r="21" spans="1:1" x14ac:dyDescent="0.3">
      <c r="A21" s="54"/>
    </row>
    <row r="22" spans="1:1" x14ac:dyDescent="0.3">
      <c r="A22" s="53" t="s">
        <v>955</v>
      </c>
    </row>
    <row r="23" spans="1:1" x14ac:dyDescent="0.3">
      <c r="A23" s="53" t="s">
        <v>956</v>
      </c>
    </row>
    <row r="24" spans="1:1" x14ac:dyDescent="0.3">
      <c r="A24" s="53" t="s">
        <v>957</v>
      </c>
    </row>
    <row r="25" spans="1:1" x14ac:dyDescent="0.3">
      <c r="A25" s="53" t="s">
        <v>958</v>
      </c>
    </row>
    <row r="26" spans="1:1" x14ac:dyDescent="0.3">
      <c r="A26" s="53" t="s">
        <v>959</v>
      </c>
    </row>
    <row r="27" spans="1:1" x14ac:dyDescent="0.3">
      <c r="A27" s="53" t="s">
        <v>960</v>
      </c>
    </row>
    <row r="28" spans="1:1" x14ac:dyDescent="0.3">
      <c r="A28" s="54"/>
    </row>
    <row r="29" spans="1:1" x14ac:dyDescent="0.3">
      <c r="A29" s="53" t="s">
        <v>961</v>
      </c>
    </row>
    <row r="30" spans="1:1" x14ac:dyDescent="0.3">
      <c r="A30" s="54"/>
    </row>
    <row r="31" spans="1:1" x14ac:dyDescent="0.3">
      <c r="A31" s="53" t="s">
        <v>962</v>
      </c>
    </row>
    <row r="32" spans="1:1" x14ac:dyDescent="0.3">
      <c r="A32" s="53" t="s">
        <v>963</v>
      </c>
    </row>
    <row r="33" spans="1:1" x14ac:dyDescent="0.3">
      <c r="A33" s="53" t="s">
        <v>964</v>
      </c>
    </row>
    <row r="34" spans="1:1" x14ac:dyDescent="0.3">
      <c r="A34" s="53" t="s">
        <v>965</v>
      </c>
    </row>
    <row r="35" spans="1:1" x14ac:dyDescent="0.3">
      <c r="A35" s="53" t="s">
        <v>966</v>
      </c>
    </row>
    <row r="36" spans="1:1" x14ac:dyDescent="0.3">
      <c r="A36" s="53" t="s">
        <v>967</v>
      </c>
    </row>
    <row r="37" spans="1:1" x14ac:dyDescent="0.3">
      <c r="A37" s="53" t="s">
        <v>968</v>
      </c>
    </row>
    <row r="38" spans="1:1" x14ac:dyDescent="0.3">
      <c r="A38" s="54"/>
    </row>
    <row r="39" spans="1:1" x14ac:dyDescent="0.3">
      <c r="A39" s="53" t="s">
        <v>969</v>
      </c>
    </row>
    <row r="40" spans="1:1" x14ac:dyDescent="0.3">
      <c r="A40" s="53" t="s">
        <v>970</v>
      </c>
    </row>
    <row r="41" spans="1:1" x14ac:dyDescent="0.3">
      <c r="A41" s="53" t="s">
        <v>971</v>
      </c>
    </row>
    <row r="42" spans="1:1" x14ac:dyDescent="0.3">
      <c r="A42" s="53" t="s">
        <v>972</v>
      </c>
    </row>
    <row r="43" spans="1:1" x14ac:dyDescent="0.3">
      <c r="A43" s="53" t="s">
        <v>973</v>
      </c>
    </row>
    <row r="44" spans="1:1" x14ac:dyDescent="0.3">
      <c r="A44" s="53" t="s">
        <v>974</v>
      </c>
    </row>
    <row r="45" spans="1:1" x14ac:dyDescent="0.3">
      <c r="A45" s="53" t="s">
        <v>975</v>
      </c>
    </row>
    <row r="46" spans="1:1" x14ac:dyDescent="0.3">
      <c r="A46" s="53" t="s">
        <v>976</v>
      </c>
    </row>
    <row r="47" spans="1:1" x14ac:dyDescent="0.3">
      <c r="A47" s="53" t="s">
        <v>977</v>
      </c>
    </row>
    <row r="48" spans="1:1" x14ac:dyDescent="0.3">
      <c r="A48" s="53" t="s">
        <v>960</v>
      </c>
    </row>
    <row r="49" spans="1:1" x14ac:dyDescent="0.3">
      <c r="A49" s="54"/>
    </row>
    <row r="50" spans="1:1" x14ac:dyDescent="0.3">
      <c r="A50" s="53" t="s">
        <v>978</v>
      </c>
    </row>
    <row r="51" spans="1:1" x14ac:dyDescent="0.3">
      <c r="A51" s="53" t="s">
        <v>979</v>
      </c>
    </row>
    <row r="52" spans="1:1" x14ac:dyDescent="0.3">
      <c r="A52" s="53" t="s">
        <v>980</v>
      </c>
    </row>
    <row r="53" spans="1:1" x14ac:dyDescent="0.3">
      <c r="A53" s="53" t="s">
        <v>981</v>
      </c>
    </row>
    <row r="54" spans="1:1" x14ac:dyDescent="0.3">
      <c r="A54" s="53" t="s">
        <v>982</v>
      </c>
    </row>
    <row r="55" spans="1:1" x14ac:dyDescent="0.3">
      <c r="A55" s="53" t="s">
        <v>966</v>
      </c>
    </row>
    <row r="56" spans="1:1" x14ac:dyDescent="0.3">
      <c r="A56" s="53" t="s">
        <v>983</v>
      </c>
    </row>
    <row r="57" spans="1:1" x14ac:dyDescent="0.3">
      <c r="A57" s="53" t="s">
        <v>984</v>
      </c>
    </row>
    <row r="58" spans="1:1" x14ac:dyDescent="0.3">
      <c r="A58" s="55" t="s">
        <v>985</v>
      </c>
    </row>
    <row r="59" spans="1:1" x14ac:dyDescent="0.3">
      <c r="A59" s="53" t="s">
        <v>986</v>
      </c>
    </row>
    <row r="60" spans="1:1" x14ac:dyDescent="0.3">
      <c r="A60" s="53" t="s">
        <v>987</v>
      </c>
    </row>
    <row r="61" spans="1:1" x14ac:dyDescent="0.3">
      <c r="A61" s="53" t="s">
        <v>988</v>
      </c>
    </row>
    <row r="62" spans="1:1" x14ac:dyDescent="0.3">
      <c r="A62" s="53" t="s">
        <v>989</v>
      </c>
    </row>
    <row r="63" spans="1:1" x14ac:dyDescent="0.3">
      <c r="A63" s="53" t="s">
        <v>990</v>
      </c>
    </row>
    <row r="64" spans="1:1" x14ac:dyDescent="0.3">
      <c r="A64" s="53" t="s">
        <v>967</v>
      </c>
    </row>
    <row r="65" spans="1:1" x14ac:dyDescent="0.3">
      <c r="A65" s="54"/>
    </row>
    <row r="66" spans="1:1" x14ac:dyDescent="0.3">
      <c r="A66" s="56" t="s">
        <v>835</v>
      </c>
    </row>
    <row r="67" spans="1:1" x14ac:dyDescent="0.3">
      <c r="A67" s="53" t="s">
        <v>991</v>
      </c>
    </row>
    <row r="68" spans="1:1" x14ac:dyDescent="0.3">
      <c r="A68" s="56" t="s">
        <v>992</v>
      </c>
    </row>
    <row r="69" spans="1:1" x14ac:dyDescent="0.3">
      <c r="A69" s="53" t="s">
        <v>993</v>
      </c>
    </row>
    <row r="70" spans="1:1" x14ac:dyDescent="0.3">
      <c r="A70" s="54"/>
    </row>
    <row r="71" spans="1:1" x14ac:dyDescent="0.3">
      <c r="A71" s="53" t="s">
        <v>994</v>
      </c>
    </row>
    <row r="72" spans="1:1" x14ac:dyDescent="0.3">
      <c r="A72" s="53" t="s">
        <v>939</v>
      </c>
    </row>
    <row r="73" spans="1:1" x14ac:dyDescent="0.3">
      <c r="A73" s="53" t="s">
        <v>940</v>
      </c>
    </row>
    <row r="74" spans="1:1" x14ac:dyDescent="0.3">
      <c r="A74" s="53" t="s">
        <v>941</v>
      </c>
    </row>
    <row r="75" spans="1:1" x14ac:dyDescent="0.3">
      <c r="A75" s="53" t="s">
        <v>942</v>
      </c>
    </row>
    <row r="76" spans="1:1" x14ac:dyDescent="0.3">
      <c r="A76" s="53" t="s">
        <v>943</v>
      </c>
    </row>
    <row r="77" spans="1:1" x14ac:dyDescent="0.3">
      <c r="A77" s="53" t="s">
        <v>944</v>
      </c>
    </row>
    <row r="78" spans="1:1" x14ac:dyDescent="0.3">
      <c r="A78" s="53" t="s">
        <v>945</v>
      </c>
    </row>
    <row r="79" spans="1:1" x14ac:dyDescent="0.3">
      <c r="A79" s="53" t="s">
        <v>946</v>
      </c>
    </row>
    <row r="80" spans="1:1" x14ac:dyDescent="0.3">
      <c r="A80" s="53" t="s">
        <v>947</v>
      </c>
    </row>
    <row r="81" spans="1:1" x14ac:dyDescent="0.3">
      <c r="A81" s="53" t="s">
        <v>995</v>
      </c>
    </row>
    <row r="82" spans="1:1" x14ac:dyDescent="0.3">
      <c r="A82" s="53" t="s">
        <v>939</v>
      </c>
    </row>
    <row r="83" spans="1:1" x14ac:dyDescent="0.3">
      <c r="A83" s="53" t="s">
        <v>940</v>
      </c>
    </row>
    <row r="84" spans="1:1" x14ac:dyDescent="0.3">
      <c r="A84" s="53" t="s">
        <v>996</v>
      </c>
    </row>
    <row r="85" spans="1:1" x14ac:dyDescent="0.3">
      <c r="A85" s="53" t="s">
        <v>997</v>
      </c>
    </row>
    <row r="86" spans="1:1" x14ac:dyDescent="0.3">
      <c r="A86" s="53" t="s">
        <v>998</v>
      </c>
    </row>
    <row r="87" spans="1:1" x14ac:dyDescent="0.3">
      <c r="A87" s="53" t="s">
        <v>999</v>
      </c>
    </row>
    <row r="88" spans="1:1" x14ac:dyDescent="0.3">
      <c r="A88" s="53" t="s">
        <v>1000</v>
      </c>
    </row>
    <row r="89" spans="1:1" x14ac:dyDescent="0.3">
      <c r="A89" s="53" t="s">
        <v>1001</v>
      </c>
    </row>
    <row r="90" spans="1:1" x14ac:dyDescent="0.3">
      <c r="A90" s="53" t="s">
        <v>1002</v>
      </c>
    </row>
    <row r="91" spans="1:1" x14ac:dyDescent="0.3">
      <c r="A91" s="53" t="s">
        <v>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0908-1667-47E7-8FD4-83DFB300E2DE}">
  <dimension ref="A1"/>
  <sheetViews>
    <sheetView workbookViewId="0">
      <selection activeCell="N8" sqref="N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bp_jurisdiction</vt:lpstr>
      <vt:lpstr>Business Rules</vt:lpstr>
      <vt:lpstr>bp_location</vt:lpstr>
      <vt:lpstr>bp_classification</vt:lpstr>
      <vt:lpstr>bp_building</vt:lpstr>
      <vt:lpstr>dim_bp_cvrbl</vt:lpstr>
      <vt:lpstr>m_scd2_scd1_macro</vt:lpstr>
      <vt:lpstr>m_flatten_json_column</vt:lpstr>
      <vt:lpstr>m_flattern_json_column.sql</vt:lpstr>
      <vt:lpstr>dim_macro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Siddalingesh B Kumbar</dc:creator>
  <cp:lastModifiedBy>Mitesh Gulati (US)</cp:lastModifiedBy>
  <dcterms:created xsi:type="dcterms:W3CDTF">2015-06-05T18:17:20Z</dcterms:created>
  <dcterms:modified xsi:type="dcterms:W3CDTF">2026-07-21T09:25:16Z</dcterms:modified>
</cp:coreProperties>
</file>